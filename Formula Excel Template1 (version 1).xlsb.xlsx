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drawings/drawing1.xml" ContentType="application/vnd.openxmlformats-officedocument.drawing+xml"/>
  <Override PartName="/xl/tables/table11.xml" ContentType="application/vnd.openxmlformats-officedocument.spreadsheetml.table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ai ml\excel learning\"/>
    </mc:Choice>
  </mc:AlternateContent>
  <xr:revisionPtr revIDLastSave="0" documentId="13_ncr:1_{72083DBD-6A43-4ED7-A73A-3A08E55B7188}" xr6:coauthVersionLast="47" xr6:coauthVersionMax="47" xr10:uidLastSave="{00000000-0000-0000-0000-000000000000}"/>
  <bookViews>
    <workbookView xWindow="-120" yWindow="-120" windowWidth="20730" windowHeight="11160" tabRatio="808" activeTab="3" xr2:uid="{47981922-77C5-4EC3-A76E-98D6CE997DC2}"/>
  </bookViews>
  <sheets>
    <sheet name="Max-Min" sheetId="9" r:id="rId1"/>
    <sheet name="IF-IFS" sheetId="8" r:id="rId2"/>
    <sheet name="Len" sheetId="2" r:id="rId3"/>
    <sheet name="LeftRight" sheetId="4" r:id="rId4"/>
    <sheet name="DateToText" sheetId="3" r:id="rId5"/>
    <sheet name="TRIM" sheetId="6" r:id="rId6"/>
    <sheet name="Substitute" sheetId="7" r:id="rId7"/>
    <sheet name="Concatenate" sheetId="1" r:id="rId8"/>
    <sheet name="SUM-SumIF" sheetId="12" r:id="rId9"/>
    <sheet name="Count-CountIF" sheetId="5" r:id="rId10"/>
    <sheet name="Days-NetworkDays" sheetId="1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13" l="1"/>
  <c r="L3" i="13"/>
  <c r="L4" i="13"/>
  <c r="L5" i="13"/>
  <c r="L6" i="13"/>
  <c r="L7" i="13"/>
  <c r="L8" i="13"/>
  <c r="L9" i="13"/>
  <c r="L10" i="13"/>
  <c r="H12" i="13" a="1"/>
  <c r="H12" i="13" s="1"/>
  <c r="J2" i="13" a="1"/>
  <c r="J2" i="13" s="1"/>
  <c r="C14" i="5"/>
  <c r="B14" i="5"/>
  <c r="A14" i="5"/>
  <c r="C15" i="12"/>
  <c r="C14" i="12"/>
  <c r="C13" i="12"/>
  <c r="J2" i="7"/>
  <c r="J3" i="7"/>
  <c r="J4" i="7"/>
  <c r="J5" i="7"/>
  <c r="J6" i="7"/>
  <c r="J7" i="7"/>
  <c r="J8" i="7"/>
  <c r="J9" i="7"/>
  <c r="J10" i="7"/>
  <c r="L2" i="1"/>
  <c r="L3" i="1"/>
  <c r="L4" i="1"/>
  <c r="L5" i="1"/>
  <c r="L6" i="1"/>
  <c r="L7" i="1"/>
  <c r="L8" i="1"/>
  <c r="L9" i="1"/>
  <c r="L10" i="1"/>
  <c r="J2" i="1"/>
  <c r="J3" i="1"/>
  <c r="J4" i="1"/>
  <c r="J5" i="1"/>
  <c r="J6" i="1"/>
  <c r="J7" i="1"/>
  <c r="J8" i="1"/>
  <c r="J9" i="1"/>
  <c r="J10" i="1"/>
  <c r="K2" i="1"/>
  <c r="K3" i="1"/>
  <c r="K4" i="1"/>
  <c r="K5" i="1"/>
  <c r="K6" i="1"/>
  <c r="K7" i="1"/>
  <c r="K8" i="1"/>
  <c r="K9" i="1"/>
  <c r="K10" i="1"/>
  <c r="J2" i="6"/>
  <c r="J3" i="6"/>
  <c r="J4" i="6"/>
  <c r="J5" i="6"/>
  <c r="J6" i="6"/>
  <c r="J7" i="6"/>
  <c r="J8" i="6"/>
  <c r="J9" i="6"/>
  <c r="J10" i="6"/>
  <c r="L2" i="3"/>
  <c r="L3" i="3"/>
  <c r="L4" i="3"/>
  <c r="L5" i="3"/>
  <c r="L6" i="3"/>
  <c r="L7" i="3"/>
  <c r="L8" i="3"/>
  <c r="L9" i="3"/>
  <c r="L10" i="3"/>
  <c r="K2" i="3"/>
  <c r="K3" i="3"/>
  <c r="K4" i="3"/>
  <c r="K5" i="3"/>
  <c r="K6" i="3"/>
  <c r="K7" i="3"/>
  <c r="K8" i="3"/>
  <c r="K9" i="3"/>
  <c r="K10" i="3"/>
  <c r="J2" i="3"/>
  <c r="J3" i="3"/>
  <c r="J4" i="3"/>
  <c r="J5" i="3"/>
  <c r="J6" i="3"/>
  <c r="J7" i="3"/>
  <c r="J8" i="3"/>
  <c r="J9" i="3"/>
  <c r="J10" i="3"/>
  <c r="L2" i="4"/>
  <c r="L3" i="4"/>
  <c r="L4" i="4"/>
  <c r="L5" i="4"/>
  <c r="L6" i="4"/>
  <c r="L7" i="4"/>
  <c r="L8" i="4"/>
  <c r="L9" i="4"/>
  <c r="L10" i="4"/>
  <c r="K2" i="4"/>
  <c r="K3" i="4"/>
  <c r="K4" i="4"/>
  <c r="K5" i="4"/>
  <c r="K6" i="4"/>
  <c r="K7" i="4"/>
  <c r="K8" i="4"/>
  <c r="K9" i="4"/>
  <c r="K10" i="4"/>
  <c r="K2" i="8" a="1"/>
  <c r="K2" i="8" s="1"/>
  <c r="K2" i="2" a="1"/>
  <c r="K2" i="2" s="1"/>
  <c r="K3" i="2" a="1"/>
  <c r="K3" i="2" s="1"/>
  <c r="K4" i="2" a="1"/>
  <c r="K4" i="2" s="1"/>
  <c r="K5" i="2" a="1"/>
  <c r="K5" i="2" s="1"/>
  <c r="K6" i="2" a="1"/>
  <c r="K6" i="2" s="1"/>
  <c r="K7" i="2" a="1"/>
  <c r="K7" i="2"/>
  <c r="K8" i="2" a="1"/>
  <c r="K8" i="2" s="1"/>
  <c r="K9" i="2" a="1"/>
  <c r="K9" i="2" s="1"/>
  <c r="K10" i="2" a="1"/>
  <c r="K10" i="2" s="1"/>
  <c r="J2" i="2"/>
  <c r="J3" i="2"/>
  <c r="J4" i="2"/>
  <c r="J5" i="2"/>
  <c r="J6" i="2"/>
  <c r="J7" i="2"/>
  <c r="J8" i="2"/>
  <c r="J9" i="2"/>
  <c r="J10" i="2"/>
  <c r="K4" i="8" a="1"/>
  <c r="K4" i="8" s="1"/>
  <c r="K5" i="8" a="1"/>
  <c r="K5" i="8"/>
  <c r="K6" i="8" a="1"/>
  <c r="K6" i="8" s="1"/>
  <c r="K7" i="8" a="1"/>
  <c r="K7" i="8"/>
  <c r="K8" i="8" a="1"/>
  <c r="K8" i="8" s="1"/>
  <c r="K9" i="8" a="1"/>
  <c r="K9" i="8"/>
  <c r="K10" i="8" a="1"/>
  <c r="K10" i="8" s="1"/>
  <c r="J2" i="8"/>
  <c r="J3" i="8"/>
  <c r="J4" i="8"/>
  <c r="J5" i="8"/>
  <c r="J6" i="8"/>
  <c r="J7" i="8"/>
  <c r="J8" i="8"/>
  <c r="J9" i="8"/>
  <c r="J10" i="8"/>
  <c r="C16" i="9"/>
  <c r="B16" i="9"/>
  <c r="C15" i="9"/>
  <c r="B15" i="9"/>
  <c r="C14" i="9"/>
  <c r="B14" i="9"/>
  <c r="H11" i="1"/>
  <c r="H1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<sst xmlns="http://schemas.openxmlformats.org/spreadsheetml/2006/main" count="620" uniqueCount="125">
  <si>
    <t>FirstName</t>
  </si>
  <si>
    <t>LastName</t>
  </si>
  <si>
    <t>Jim</t>
  </si>
  <si>
    <t>Halpert</t>
  </si>
  <si>
    <t>Pam</t>
  </si>
  <si>
    <t>Beasley</t>
  </si>
  <si>
    <t>Dwight</t>
  </si>
  <si>
    <t>Schrute</t>
  </si>
  <si>
    <t>Michael</t>
  </si>
  <si>
    <t>Scott</t>
  </si>
  <si>
    <t>Kevin</t>
  </si>
  <si>
    <t>Malone</t>
  </si>
  <si>
    <t>Martin</t>
  </si>
  <si>
    <t>Angela</t>
  </si>
  <si>
    <t>Toby</t>
  </si>
  <si>
    <t>Flenderson</t>
  </si>
  <si>
    <t>Stanley</t>
  </si>
  <si>
    <t>Hudson</t>
  </si>
  <si>
    <t>CONCATENATE(B2," ",C2)</t>
  </si>
  <si>
    <t>LEN(B2)</t>
  </si>
  <si>
    <t>EmployeeID</t>
  </si>
  <si>
    <t>JobTitle</t>
  </si>
  <si>
    <t>Salary</t>
  </si>
  <si>
    <t>Age</t>
  </si>
  <si>
    <t>Gender</t>
  </si>
  <si>
    <t>Salesman</t>
  </si>
  <si>
    <t>Male</t>
  </si>
  <si>
    <t>Receptionist</t>
  </si>
  <si>
    <t>Female</t>
  </si>
  <si>
    <t>Accountant</t>
  </si>
  <si>
    <t>HR</t>
  </si>
  <si>
    <t>Regional Manager</t>
  </si>
  <si>
    <t>Supplier Relations</t>
  </si>
  <si>
    <t>Meredith</t>
  </si>
  <si>
    <t>Palmer</t>
  </si>
  <si>
    <t>Can be used to see difference between 100s and thousands. Can find bad Social Security numbers if they're 10 digits instead of 9</t>
  </si>
  <si>
    <t>StartDate</t>
  </si>
  <si>
    <t>EndDate</t>
  </si>
  <si>
    <t>Email</t>
  </si>
  <si>
    <t>Jim.Halpert@DunderMifflin.com</t>
  </si>
  <si>
    <t>Pam.Beasley@DunderMifflin.com</t>
  </si>
  <si>
    <t>Dwight.Schrute@AOL.com</t>
  </si>
  <si>
    <t>Angela.Martin@DunderMifflin.com</t>
  </si>
  <si>
    <t>Toby.Flenderson@DunderMifflinCorporate.com</t>
  </si>
  <si>
    <t>Michael.Scott@DunderMifflin.com</t>
  </si>
  <si>
    <t>Meredith.Palmer@Yahoo.com</t>
  </si>
  <si>
    <t>Stanley.Hudson@gmail.com</t>
  </si>
  <si>
    <t>Kevin.Malone@DunderMifflin.com</t>
  </si>
  <si>
    <t>11/2/2001</t>
  </si>
  <si>
    <t>10/3/1999</t>
  </si>
  <si>
    <t>7/4/2000</t>
  </si>
  <si>
    <t>1/5/2000</t>
  </si>
  <si>
    <t>5/6/2001</t>
  </si>
  <si>
    <t>11/8/2003</t>
  </si>
  <si>
    <t>6/9/2002</t>
  </si>
  <si>
    <t>8/10/2003</t>
  </si>
  <si>
    <t>9/6/2015</t>
  </si>
  <si>
    <t>10/10/2015</t>
  </si>
  <si>
    <t>9/8/2017</t>
  </si>
  <si>
    <t>12/3/2015</t>
  </si>
  <si>
    <t>8/30/2017</t>
  </si>
  <si>
    <t>9/11/2013</t>
  </si>
  <si>
    <t>4/22/2015</t>
  </si>
  <si>
    <t xml:space="preserve">Malone </t>
  </si>
  <si>
    <t xml:space="preserve">  Hudson</t>
  </si>
  <si>
    <t xml:space="preserve">   Scott</t>
  </si>
  <si>
    <t xml:space="preserve">Flenderson    </t>
  </si>
  <si>
    <t xml:space="preserve"> Schrute</t>
  </si>
  <si>
    <t>TRIM(C2)</t>
  </si>
  <si>
    <t>It just removes unwanted spaces on both sides</t>
  </si>
  <si>
    <t>with 1 instance</t>
  </si>
  <si>
    <t>with 2 instances</t>
  </si>
  <si>
    <t>with NO instances</t>
  </si>
  <si>
    <t>COUNT</t>
  </si>
  <si>
    <t>COUNTIF</t>
  </si>
  <si>
    <t>COUNTIFS</t>
  </si>
  <si>
    <t>Max</t>
  </si>
  <si>
    <t>Min</t>
  </si>
  <si>
    <t>DAYS</t>
  </si>
  <si>
    <t>NETWORKDAYS</t>
  </si>
  <si>
    <t>Left</t>
  </si>
  <si>
    <t>Right</t>
  </si>
  <si>
    <t>start Date:</t>
  </si>
  <si>
    <t>end date:</t>
  </si>
  <si>
    <t>salary:</t>
  </si>
  <si>
    <t>Employee ID</t>
  </si>
  <si>
    <t>max and min values</t>
  </si>
  <si>
    <t>if</t>
  </si>
  <si>
    <t>ifs</t>
  </si>
  <si>
    <t>work hours</t>
  </si>
  <si>
    <t>Department</t>
  </si>
  <si>
    <t>department</t>
  </si>
  <si>
    <t>formulae = " =LEFT([@column],no. of element to access) "</t>
  </si>
  <si>
    <t>same for right one also</t>
  </si>
  <si>
    <t>general formate of date</t>
  </si>
  <si>
    <t>TEXT(H2,"yyyy/mm/dd")</t>
  </si>
  <si>
    <t>Column1</t>
  </si>
  <si>
    <t>year only</t>
  </si>
  <si>
    <t>it can be in any type of formate like yy, dd/mm/yyyy or etc.</t>
  </si>
  <si>
    <t>formulae =   '  =TEXT([@column],"yyyy/mm/dd")   '</t>
  </si>
  <si>
    <t>trim : --&gt;</t>
  </si>
  <si>
    <t>:------&gt;</t>
  </si>
  <si>
    <t>userid using concate</t>
  </si>
  <si>
    <t>CONCATENATE(B2,C2)</t>
  </si>
  <si>
    <t>emplyoyee email by office</t>
  </si>
  <si>
    <t>use to do changes if we want to change the element from some particular part like --&gt; "/"  &gt;&gt;  "|"</t>
  </si>
  <si>
    <t>use to add up the elemnts</t>
  </si>
  <si>
    <t xml:space="preserve">sum </t>
  </si>
  <si>
    <t>sum if for &gt; 50000</t>
  </si>
  <si>
    <t>sum ifs for &gt; 50000 for female</t>
  </si>
  <si>
    <t xml:space="preserve">formulae: </t>
  </si>
  <si>
    <t>"' =SUMIF(Table11[Salary],"&gt; $50000") '''</t>
  </si>
  <si>
    <t>cond.n to be</t>
  </si>
  <si>
    <t>applied on</t>
  </si>
  <si>
    <t xml:space="preserve"> '''  =SUMIFS(Table11[Salary], Table11[Salary], "&gt;50000", Table11[Gender], "Female", Table11[Age], "&gt;30")    '''</t>
  </si>
  <si>
    <t>used to cont the no. Of the rows</t>
  </si>
  <si>
    <t>" if formulae''  =     ''  =IF(Table no.[@column] = "condition if value", "if statement returns","else statement returns") "</t>
  </si>
  <si>
    <t>eg.:  "  =IF(Table5[@Gender] = "Male", "6.5 hours","4.5 hours")  ""</t>
  </si>
  <si>
    <t>eg.: "" =IFS(Table5[@JobTitle]="Salesman","Sales",Table5[@JobTitle]="Receptionist","Administration",Table5[@JobTitle]="Regional Manager"</t>
  </si>
  <si>
    <t xml:space="preserve">,"Sales",Table5[@JobTitle]="Supplier Relations","Sales",Table5[@JobTitle]="HR","Administration", </t>
  </si>
  <si>
    <t>Table5[@JobTitle]="Accountant","Finance", TRUE,"Other")   ""</t>
  </si>
  <si>
    <t>30/08/2017</t>
  </si>
  <si>
    <t>new end date</t>
  </si>
  <si>
    <t>" ifs formulae''  =  "  =IFS(Table no.[@column] ="#", "Result 1", Table no.[@column] ="***", "Result 2", Table no.[@column] ="---", "Result 3",….  , TRUE, "Other")  ""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</si>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</sst>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4" formatCode="_(&quot;$&quot;* #,##0.00_);_(&quot;$&quot;* \(#,##0.00\);_(&quot;$&quot;* &quot;-&quot;??_);_(@_)"/>
    <numFmt numFmtId="164" formatCode="_ [$₹-4009]\ * #,##0.00_ ;_ [$₹-4009]\ * \-#,##0.00_ ;_ [$₹-4009]\ * &quot;-&quot;??_ ;_ @_ "/>
    <numFmt numFmtId="165" formatCode="[$-F800]dddd\,\ mmmm\ dd\,\ yyyy"/>
    <numFmt numFmtId="166" formatCode="[$-14009]dd/mm/yyyy;@"/>
    <numFmt numFmtId="167" formatCode="[$-14009]d\ mmmm\ yyyy;@"/>
  </numFmts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9C570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theme="8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EB9C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theme="3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44" fontId="2" fillId="0" borderId="0" applyFont="0" applyFill="0" applyBorder="0" applyAlignment="0" applyProtection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2" fillId="4" borderId="0" applyNumberFormat="0" applyBorder="0" applyAlignment="0" applyProtection="0"/>
    <xf numFmtId="0" fontId="5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6" fillId="8" borderId="10" applyNumberFormat="0" applyAlignment="0" applyProtection="0"/>
    <xf numFmtId="0" fontId="5" fillId="9" borderId="0" applyNumberFormat="0" applyBorder="0" applyAlignment="0" applyProtection="0"/>
    <xf numFmtId="0" fontId="9" fillId="20" borderId="0" applyNumberFormat="0" applyBorder="0" applyAlignment="0" applyProtection="0"/>
  </cellStyleXfs>
  <cellXfs count="115">
    <xf numFmtId="0" fontId="0" fillId="0" borderId="0" xfId="0"/>
    <xf numFmtId="14" fontId="0" fillId="0" borderId="0" xfId="0" applyNumberFormat="1"/>
    <xf numFmtId="49" fontId="0" fillId="0" borderId="0" xfId="0" applyNumberFormat="1"/>
    <xf numFmtId="0" fontId="0" fillId="0" borderId="5" xfId="0" applyBorder="1"/>
    <xf numFmtId="0" fontId="0" fillId="0" borderId="1" xfId="0" applyBorder="1"/>
    <xf numFmtId="44" fontId="0" fillId="0" borderId="1" xfId="1" applyFont="1" applyBorder="1"/>
    <xf numFmtId="14" fontId="0" fillId="0" borderId="1" xfId="0" applyNumberFormat="1" applyBorder="1"/>
    <xf numFmtId="14" fontId="0" fillId="0" borderId="6" xfId="0" applyNumberFormat="1" applyBorder="1"/>
    <xf numFmtId="0" fontId="0" fillId="0" borderId="7" xfId="0" applyBorder="1"/>
    <xf numFmtId="0" fontId="0" fillId="0" borderId="8" xfId="0" applyBorder="1"/>
    <xf numFmtId="44" fontId="0" fillId="0" borderId="8" xfId="1" applyFont="1" applyBorder="1"/>
    <xf numFmtId="14" fontId="0" fillId="0" borderId="8" xfId="0" applyNumberFormat="1" applyBorder="1"/>
    <xf numFmtId="14" fontId="0" fillId="0" borderId="9" xfId="0" applyNumberFormat="1" applyBorder="1"/>
    <xf numFmtId="41" fontId="2" fillId="4" borderId="2" xfId="4" applyNumberFormat="1" applyBorder="1"/>
    <xf numFmtId="41" fontId="2" fillId="4" borderId="3" xfId="4" applyNumberFormat="1" applyBorder="1"/>
    <xf numFmtId="41" fontId="2" fillId="4" borderId="4" xfId="4" applyNumberFormat="1" applyBorder="1"/>
    <xf numFmtId="14" fontId="0" fillId="0" borderId="0" xfId="0" applyNumberFormat="1" applyAlignment="1">
      <alignment horizontal="right"/>
    </xf>
    <xf numFmtId="14" fontId="2" fillId="7" borderId="1" xfId="7" applyNumberFormat="1" applyBorder="1"/>
    <xf numFmtId="44" fontId="2" fillId="7" borderId="1" xfId="7" applyNumberFormat="1" applyBorder="1"/>
    <xf numFmtId="41" fontId="3" fillId="2" borderId="1" xfId="2" applyNumberFormat="1" applyBorder="1" applyAlignment="1">
      <alignment horizontal="right"/>
    </xf>
    <xf numFmtId="14" fontId="3" fillId="2" borderId="1" xfId="2" applyNumberFormat="1" applyBorder="1" applyAlignment="1">
      <alignment horizontal="right"/>
    </xf>
    <xf numFmtId="0" fontId="4" fillId="3" borderId="1" xfId="3" applyBorder="1"/>
    <xf numFmtId="0" fontId="2" fillId="6" borderId="5" xfId="6" applyBorder="1"/>
    <xf numFmtId="0" fontId="2" fillId="6" borderId="7" xfId="6" applyBorder="1"/>
    <xf numFmtId="0" fontId="5" fillId="5" borderId="2" xfId="5" applyBorder="1"/>
    <xf numFmtId="0" fontId="5" fillId="5" borderId="3" xfId="5" applyBorder="1"/>
    <xf numFmtId="0" fontId="5" fillId="5" borderId="4" xfId="5" applyBorder="1"/>
    <xf numFmtId="0" fontId="5" fillId="0" borderId="0" xfId="5" applyFill="1" applyBorder="1"/>
    <xf numFmtId="0" fontId="0" fillId="0" borderId="0" xfId="0" applyAlignment="1">
      <alignment horizontal="center"/>
    </xf>
    <xf numFmtId="0" fontId="5" fillId="5" borderId="0" xfId="5" applyAlignment="1">
      <alignment horizontal="center"/>
    </xf>
    <xf numFmtId="164" fontId="5" fillId="5" borderId="3" xfId="5" applyNumberFormat="1" applyBorder="1"/>
    <xf numFmtId="164" fontId="0" fillId="0" borderId="1" xfId="0" applyNumberFormat="1" applyBorder="1"/>
    <xf numFmtId="164" fontId="0" fillId="0" borderId="8" xfId="0" applyNumberFormat="1" applyBorder="1"/>
    <xf numFmtId="0" fontId="0" fillId="0" borderId="2" xfId="0" applyBorder="1"/>
    <xf numFmtId="0" fontId="0" fillId="0" borderId="3" xfId="0" applyBorder="1"/>
    <xf numFmtId="44" fontId="0" fillId="0" borderId="3" xfId="1" applyFont="1" applyBorder="1"/>
    <xf numFmtId="49" fontId="0" fillId="0" borderId="1" xfId="0" applyNumberFormat="1" applyBorder="1"/>
    <xf numFmtId="0" fontId="5" fillId="9" borderId="1" xfId="9" applyBorder="1"/>
    <xf numFmtId="0" fontId="6" fillId="8" borderId="10" xfId="8"/>
    <xf numFmtId="14" fontId="0" fillId="0" borderId="3" xfId="0" applyNumberFormat="1" applyBorder="1"/>
    <xf numFmtId="0" fontId="6" fillId="8" borderId="3" xfId="8" applyBorder="1"/>
    <xf numFmtId="0" fontId="0" fillId="0" borderId="0" xfId="0" quotePrefix="1"/>
    <xf numFmtId="44" fontId="0" fillId="0" borderId="0" xfId="1" applyFont="1"/>
    <xf numFmtId="0" fontId="0" fillId="0" borderId="9" xfId="0" applyBorder="1"/>
    <xf numFmtId="0" fontId="0" fillId="0" borderId="4" xfId="0" applyBorder="1"/>
    <xf numFmtId="0" fontId="0" fillId="0" borderId="6" xfId="0" applyBorder="1"/>
    <xf numFmtId="49" fontId="0" fillId="0" borderId="8" xfId="0" applyNumberFormat="1" applyBorder="1"/>
    <xf numFmtId="0" fontId="0" fillId="10" borderId="2" xfId="0" applyFill="1" applyBorder="1"/>
    <xf numFmtId="0" fontId="0" fillId="10" borderId="3" xfId="0" applyFill="1" applyBorder="1"/>
    <xf numFmtId="44" fontId="0" fillId="10" borderId="3" xfId="1" applyFont="1" applyFill="1" applyBorder="1"/>
    <xf numFmtId="0" fontId="0" fillId="11" borderId="4" xfId="0" applyFill="1" applyBorder="1"/>
    <xf numFmtId="0" fontId="7" fillId="12" borderId="3" xfId="0" applyFont="1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8" fillId="0" borderId="0" xfId="0" applyFont="1"/>
    <xf numFmtId="0" fontId="0" fillId="0" borderId="1" xfId="1" applyNumberFormat="1" applyFont="1" applyBorder="1"/>
    <xf numFmtId="0" fontId="0" fillId="0" borderId="8" xfId="1" applyNumberFormat="1" applyFont="1" applyBorder="1"/>
    <xf numFmtId="0" fontId="0" fillId="13" borderId="1" xfId="0" applyFill="1" applyBorder="1"/>
    <xf numFmtId="0" fontId="0" fillId="14" borderId="1" xfId="0" applyFill="1" applyBorder="1"/>
    <xf numFmtId="0" fontId="0" fillId="15" borderId="1" xfId="0" applyFill="1" applyBorder="1"/>
    <xf numFmtId="0" fontId="0" fillId="16" borderId="5" xfId="0" applyFill="1" applyBorder="1"/>
    <xf numFmtId="0" fontId="0" fillId="17" borderId="7" xfId="0" applyFill="1" applyBorder="1"/>
    <xf numFmtId="0" fontId="0" fillId="18" borderId="0" xfId="0" applyFill="1"/>
    <xf numFmtId="0" fontId="0" fillId="18" borderId="13" xfId="0" applyFill="1" applyBorder="1"/>
    <xf numFmtId="0" fontId="0" fillId="19" borderId="0" xfId="0" applyFill="1"/>
    <xf numFmtId="44" fontId="0" fillId="21" borderId="1" xfId="1" applyFont="1" applyFill="1" applyBorder="1"/>
    <xf numFmtId="0" fontId="0" fillId="21" borderId="8" xfId="0" applyFill="1" applyBorder="1"/>
    <xf numFmtId="0" fontId="0" fillId="21" borderId="1" xfId="0" applyFill="1" applyBorder="1"/>
    <xf numFmtId="0" fontId="0" fillId="22" borderId="2" xfId="0" applyFill="1" applyBorder="1"/>
    <xf numFmtId="0" fontId="0" fillId="24" borderId="2" xfId="0" applyFill="1" applyBorder="1"/>
    <xf numFmtId="0" fontId="0" fillId="24" borderId="3" xfId="0" applyFill="1" applyBorder="1"/>
    <xf numFmtId="0" fontId="0" fillId="24" borderId="4" xfId="0" applyFill="1" applyBorder="1"/>
    <xf numFmtId="0" fontId="0" fillId="25" borderId="1" xfId="0" applyFill="1" applyBorder="1"/>
    <xf numFmtId="0" fontId="0" fillId="26" borderId="6" xfId="0" applyFill="1" applyBorder="1"/>
    <xf numFmtId="0" fontId="0" fillId="26" borderId="15" xfId="0" applyFill="1" applyBorder="1"/>
    <xf numFmtId="0" fontId="0" fillId="26" borderId="5" xfId="0" applyFill="1" applyBorder="1"/>
    <xf numFmtId="0" fontId="0" fillId="23" borderId="6" xfId="0" applyFill="1" applyBorder="1"/>
    <xf numFmtId="0" fontId="0" fillId="23" borderId="15" xfId="0" applyFill="1" applyBorder="1"/>
    <xf numFmtId="0" fontId="0" fillId="23" borderId="5" xfId="0" applyFill="1" applyBorder="1"/>
    <xf numFmtId="0" fontId="0" fillId="23" borderId="9" xfId="0" applyFill="1" applyBorder="1"/>
    <xf numFmtId="0" fontId="0" fillId="23" borderId="14" xfId="0" applyFill="1" applyBorder="1"/>
    <xf numFmtId="0" fontId="0" fillId="23" borderId="7" xfId="0" applyFill="1" applyBorder="1"/>
    <xf numFmtId="0" fontId="0" fillId="23" borderId="11" xfId="0" applyFill="1" applyBorder="1"/>
    <xf numFmtId="0" fontId="0" fillId="23" borderId="0" xfId="0" applyFill="1"/>
    <xf numFmtId="0" fontId="0" fillId="23" borderId="12" xfId="0" applyFill="1" applyBorder="1"/>
    <xf numFmtId="0" fontId="0" fillId="23" borderId="4" xfId="0" applyFill="1" applyBorder="1"/>
    <xf numFmtId="0" fontId="0" fillId="23" borderId="13" xfId="0" applyFill="1" applyBorder="1"/>
    <xf numFmtId="0" fontId="0" fillId="23" borderId="2" xfId="0" applyFill="1" applyBorder="1"/>
    <xf numFmtId="0" fontId="0" fillId="12" borderId="1" xfId="0" applyFill="1" applyBorder="1"/>
    <xf numFmtId="0" fontId="0" fillId="27" borderId="15" xfId="0" applyFill="1" applyBorder="1"/>
    <xf numFmtId="0" fontId="0" fillId="27" borderId="5" xfId="0" applyFill="1" applyBorder="1"/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3" fillId="2" borderId="2" xfId="2" applyBorder="1"/>
    <xf numFmtId="0" fontId="3" fillId="2" borderId="3" xfId="2" applyBorder="1"/>
    <xf numFmtId="0" fontId="3" fillId="2" borderId="4" xfId="2" applyBorder="1" applyAlignment="1">
      <alignment horizontal="center"/>
    </xf>
    <xf numFmtId="0" fontId="9" fillId="20" borderId="3" xfId="10" applyBorder="1"/>
    <xf numFmtId="0" fontId="0" fillId="28" borderId="21" xfId="0" applyFill="1" applyBorder="1"/>
    <xf numFmtId="0" fontId="0" fillId="28" borderId="22" xfId="0" applyFill="1" applyBorder="1"/>
    <xf numFmtId="0" fontId="0" fillId="28" borderId="23" xfId="0" applyFill="1" applyBorder="1"/>
    <xf numFmtId="0" fontId="0" fillId="25" borderId="16" xfId="0" applyFill="1" applyBorder="1"/>
    <xf numFmtId="0" fontId="0" fillId="25" borderId="19" xfId="0" applyFill="1" applyBorder="1"/>
    <xf numFmtId="0" fontId="0" fillId="25" borderId="17" xfId="0" applyFill="1" applyBorder="1"/>
    <xf numFmtId="0" fontId="0" fillId="25" borderId="18" xfId="0" applyFill="1" applyBorder="1"/>
    <xf numFmtId="0" fontId="0" fillId="25" borderId="20" xfId="0" applyFill="1" applyBorder="1"/>
    <xf numFmtId="0" fontId="0" fillId="22" borderId="24" xfId="0" applyFill="1" applyBorder="1"/>
    <xf numFmtId="0" fontId="0" fillId="22" borderId="25" xfId="0" applyFill="1" applyBorder="1"/>
    <xf numFmtId="0" fontId="0" fillId="22" borderId="26" xfId="0" applyFill="1" applyBorder="1"/>
    <xf numFmtId="0" fontId="0" fillId="23" borderId="27" xfId="0" applyFill="1" applyBorder="1"/>
    <xf numFmtId="0" fontId="0" fillId="23" borderId="28" xfId="0" applyFill="1" applyBorder="1"/>
    <xf numFmtId="0" fontId="0" fillId="23" borderId="29" xfId="0" applyFill="1" applyBorder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1">
    <cellStyle name="20% - Accent4" xfId="6" builtinId="42"/>
    <cellStyle name="40% - Accent1" xfId="4" builtinId="31"/>
    <cellStyle name="40% - Accent5" xfId="7" builtinId="47"/>
    <cellStyle name="Accent2" xfId="5" builtinId="33"/>
    <cellStyle name="Accent5" xfId="9" builtinId="45"/>
    <cellStyle name="Bad" xfId="3" builtinId="27"/>
    <cellStyle name="Currency" xfId="1" builtinId="4"/>
    <cellStyle name="Good" xfId="2" builtinId="26"/>
    <cellStyle name="Input" xfId="8" builtinId="20"/>
    <cellStyle name="Neutral" xfId="10" builtinId="28"/>
    <cellStyle name="Normal" xfId="0" builtinId="0"/>
  </cellStyles>
  <dxfs count="136">
    <dxf>
      <numFmt numFmtId="19" formatCode="dd/mm/yy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indexed="64"/>
          <bgColor theme="8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9" formatCode="dd/mm/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7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19" formatCode="dd/mm/yy"/>
    </dxf>
    <dxf>
      <numFmt numFmtId="19" formatCode="dd/mm/yy"/>
    </dxf>
    <dxf>
      <numFmt numFmtId="30" formatCode="@"/>
    </dxf>
    <dxf>
      <numFmt numFmtId="30" formatCode="@"/>
    </dxf>
    <dxf>
      <numFmt numFmtId="19" formatCode="dd/mm/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 [$₹-4009]\ * #,##0.00_ ;_ [$₹-4009]\ * \-#,##0.00_ ;_ [$₹-4009]\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9" formatCode="dd/mm/yy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customXml" Target="../ink/ink7.xml"/><Relationship Id="rId18" Type="http://schemas.openxmlformats.org/officeDocument/2006/relationships/image" Target="../media/image9.png"/><Relationship Id="rId3" Type="http://schemas.openxmlformats.org/officeDocument/2006/relationships/customXml" Target="../ink/ink2.xml"/><Relationship Id="rId21" Type="http://schemas.openxmlformats.org/officeDocument/2006/relationships/customXml" Target="../ink/ink11.xml"/><Relationship Id="rId7" Type="http://schemas.openxmlformats.org/officeDocument/2006/relationships/customXml" Target="../ink/ink4.xml"/><Relationship Id="rId12" Type="http://schemas.openxmlformats.org/officeDocument/2006/relationships/image" Target="../media/image6.png"/><Relationship Id="rId17" Type="http://schemas.openxmlformats.org/officeDocument/2006/relationships/customXml" Target="../ink/ink9.xml"/><Relationship Id="rId2" Type="http://schemas.openxmlformats.org/officeDocument/2006/relationships/image" Target="../media/image1.png"/><Relationship Id="rId16" Type="http://schemas.openxmlformats.org/officeDocument/2006/relationships/image" Target="../media/image8.png"/><Relationship Id="rId20" Type="http://schemas.openxmlformats.org/officeDocument/2006/relationships/image" Target="../media/image10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customXml" Target="../ink/ink6.xml"/><Relationship Id="rId5" Type="http://schemas.openxmlformats.org/officeDocument/2006/relationships/customXml" Target="../ink/ink3.xml"/><Relationship Id="rId15" Type="http://schemas.openxmlformats.org/officeDocument/2006/relationships/customXml" Target="../ink/ink8.xml"/><Relationship Id="rId10" Type="http://schemas.openxmlformats.org/officeDocument/2006/relationships/image" Target="../media/image5.png"/><Relationship Id="rId19" Type="http://schemas.openxmlformats.org/officeDocument/2006/relationships/customXml" Target="../ink/ink10.xml"/><Relationship Id="rId4" Type="http://schemas.openxmlformats.org/officeDocument/2006/relationships/image" Target="../media/image2.png"/><Relationship Id="rId9" Type="http://schemas.openxmlformats.org/officeDocument/2006/relationships/customXml" Target="../ink/ink5.xml"/><Relationship Id="rId14" Type="http://schemas.openxmlformats.org/officeDocument/2006/relationships/image" Target="../media/image7.png"/><Relationship Id="rId2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790380</xdr:colOff>
      <xdr:row>15</xdr:row>
      <xdr:rowOff>37620</xdr:rowOff>
    </xdr:from>
    <xdr:to>
      <xdr:col>5</xdr:col>
      <xdr:colOff>742965</xdr:colOff>
      <xdr:row>15</xdr:row>
      <xdr:rowOff>47700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AB72340C-B0D5-3E72-F6C9-3286CB5E386B}"/>
                </a:ext>
              </a:extLst>
            </xdr14:cNvPr>
            <xdr14:cNvContentPartPr/>
          </xdr14:nvContentPartPr>
          <xdr14:nvPr macro=""/>
          <xdr14:xfrm>
            <a:off x="5248080" y="2895120"/>
            <a:ext cx="819360" cy="1008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AB72340C-B0D5-3E72-F6C9-3286CB5E386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241960" y="2889000"/>
              <a:ext cx="831600" cy="2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37830</xdr:colOff>
      <xdr:row>15</xdr:row>
      <xdr:rowOff>37620</xdr:rowOff>
    </xdr:from>
    <xdr:to>
      <xdr:col>6</xdr:col>
      <xdr:colOff>828750</xdr:colOff>
      <xdr:row>15</xdr:row>
      <xdr:rowOff>66780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AF3B76DE-34F0-9295-64B5-E48EA068C2D8}"/>
                </a:ext>
              </a:extLst>
            </xdr14:cNvPr>
            <xdr14:cNvContentPartPr/>
          </xdr14:nvContentPartPr>
          <xdr14:nvPr macro=""/>
          <xdr14:xfrm>
            <a:off x="6229080" y="2895120"/>
            <a:ext cx="790920" cy="291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AF3B76DE-34F0-9295-64B5-E48EA068C2D8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6222960" y="2889000"/>
              <a:ext cx="803160" cy="41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66375</xdr:colOff>
      <xdr:row>15</xdr:row>
      <xdr:rowOff>8820</xdr:rowOff>
    </xdr:from>
    <xdr:to>
      <xdr:col>11</xdr:col>
      <xdr:colOff>27915</xdr:colOff>
      <xdr:row>15</xdr:row>
      <xdr:rowOff>86580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7AFC3780-674A-DA91-B2FB-C305C41710AF}"/>
                </a:ext>
              </a:extLst>
            </xdr14:cNvPr>
            <xdr14:cNvContentPartPr/>
          </xdr14:nvContentPartPr>
          <xdr14:nvPr macro=""/>
          <xdr14:xfrm>
            <a:off x="7124400" y="2866320"/>
            <a:ext cx="3428640" cy="7776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7AFC3780-674A-DA91-B2FB-C305C41710A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7118280" y="2860200"/>
              <a:ext cx="3440880" cy="90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797430</xdr:colOff>
      <xdr:row>15</xdr:row>
      <xdr:rowOff>23220</xdr:rowOff>
    </xdr:from>
    <xdr:to>
      <xdr:col>7</xdr:col>
      <xdr:colOff>175815</xdr:colOff>
      <xdr:row>15</xdr:row>
      <xdr:rowOff>96300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993F0634-5039-D585-CD1F-BC575C6DC5F8}"/>
                </a:ext>
              </a:extLst>
            </xdr14:cNvPr>
            <xdr14:cNvContentPartPr/>
          </xdr14:nvContentPartPr>
          <xdr14:nvPr macro=""/>
          <xdr14:xfrm>
            <a:off x="6988680" y="2880720"/>
            <a:ext cx="245160" cy="7308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993F0634-5039-D585-CD1F-BC575C6DC5F8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6982560" y="2874600"/>
              <a:ext cx="257400" cy="85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283935</xdr:colOff>
      <xdr:row>15</xdr:row>
      <xdr:rowOff>179804</xdr:rowOff>
    </xdr:from>
    <xdr:to>
      <xdr:col>6</xdr:col>
      <xdr:colOff>715935</xdr:colOff>
      <xdr:row>17</xdr:row>
      <xdr:rowOff>125324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CCB53E49-9861-9EF9-CEE5-14B76F909E61}"/>
                </a:ext>
              </a:extLst>
            </xdr14:cNvPr>
            <xdr14:cNvContentPartPr/>
          </xdr14:nvContentPartPr>
          <xdr14:nvPr macro=""/>
          <xdr14:xfrm>
            <a:off x="6475185" y="3037304"/>
            <a:ext cx="432000" cy="32652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CCB53E49-9861-9EF9-CEE5-14B76F909E61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6469065" y="3031184"/>
              <a:ext cx="444240" cy="338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742575</xdr:colOff>
      <xdr:row>16</xdr:row>
      <xdr:rowOff>127904</xdr:rowOff>
    </xdr:from>
    <xdr:to>
      <xdr:col>7</xdr:col>
      <xdr:colOff>217440</xdr:colOff>
      <xdr:row>17</xdr:row>
      <xdr:rowOff>74924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B6EB35F3-1BB8-444F-2035-A0D0432833BF}"/>
                </a:ext>
              </a:extLst>
            </xdr14:cNvPr>
            <xdr14:cNvContentPartPr/>
          </xdr14:nvContentPartPr>
          <xdr14:nvPr macro=""/>
          <xdr14:xfrm>
            <a:off x="6933825" y="3175904"/>
            <a:ext cx="341640" cy="13752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B6EB35F3-1BB8-444F-2035-A0D0432833BF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6927705" y="3169784"/>
              <a:ext cx="353880" cy="149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187026</xdr:colOff>
      <xdr:row>16</xdr:row>
      <xdr:rowOff>62926</xdr:rowOff>
    </xdr:from>
    <xdr:to>
      <xdr:col>7</xdr:col>
      <xdr:colOff>416694</xdr:colOff>
      <xdr:row>17</xdr:row>
      <xdr:rowOff>71142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E7E20F80-4AA9-9DC6-10CB-4B8442708F4F}"/>
                </a:ext>
              </a:extLst>
            </xdr14:cNvPr>
            <xdr14:cNvContentPartPr/>
          </xdr14:nvContentPartPr>
          <xdr14:nvPr macro=""/>
          <xdr14:xfrm rot="6754438">
            <a:off x="7260527" y="3095450"/>
            <a:ext cx="198716" cy="229668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E7E20F80-4AA9-9DC6-10CB-4B8442708F4F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 rot="6754438">
              <a:off x="7254407" y="3089330"/>
              <a:ext cx="210956" cy="24190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742710</xdr:colOff>
      <xdr:row>17</xdr:row>
      <xdr:rowOff>30300</xdr:rowOff>
    </xdr:from>
    <xdr:to>
      <xdr:col>6</xdr:col>
      <xdr:colOff>54495</xdr:colOff>
      <xdr:row>17</xdr:row>
      <xdr:rowOff>119580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E1D09585-17D5-7F28-89F8-5561FF2BF5A2}"/>
                </a:ext>
              </a:extLst>
            </xdr14:cNvPr>
            <xdr14:cNvContentPartPr/>
          </xdr14:nvContentPartPr>
          <xdr14:nvPr macro=""/>
          <xdr14:xfrm>
            <a:off x="6067185" y="3268800"/>
            <a:ext cx="178560" cy="89280"/>
          </xdr14:xfrm>
        </xdr:contentPart>
      </mc:Choice>
      <mc:Fallback xmlns=""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E1D09585-17D5-7F28-89F8-5561FF2BF5A2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6061065" y="3262680"/>
              <a:ext cx="190800" cy="101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377640</xdr:colOff>
      <xdr:row>15</xdr:row>
      <xdr:rowOff>181604</xdr:rowOff>
    </xdr:from>
    <xdr:to>
      <xdr:col>8</xdr:col>
      <xdr:colOff>80880</xdr:colOff>
      <xdr:row>17</xdr:row>
      <xdr:rowOff>97244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E2DD81A2-F1E4-1D1D-E31B-B9BDB04DFBE9}"/>
                </a:ext>
              </a:extLst>
            </xdr14:cNvPr>
            <xdr14:cNvContentPartPr/>
          </xdr14:nvContentPartPr>
          <xdr14:nvPr macro=""/>
          <xdr14:xfrm>
            <a:off x="7435665" y="3039104"/>
            <a:ext cx="570015" cy="296640"/>
          </xdr14:xfrm>
        </xdr:contentPart>
      </mc:Choice>
      <mc:Fallback xmlns=""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E2DD81A2-F1E4-1D1D-E31B-B9BDB04DFBE9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7429540" y="3032984"/>
              <a:ext cx="582266" cy="308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558855</xdr:colOff>
      <xdr:row>17</xdr:row>
      <xdr:rowOff>46680</xdr:rowOff>
    </xdr:from>
    <xdr:to>
      <xdr:col>7</xdr:col>
      <xdr:colOff>628695</xdr:colOff>
      <xdr:row>17</xdr:row>
      <xdr:rowOff>95280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B7093F74-DA69-215B-1228-B735156B3290}"/>
                </a:ext>
              </a:extLst>
            </xdr14:cNvPr>
            <xdr14:cNvContentPartPr/>
          </xdr14:nvContentPartPr>
          <xdr14:nvPr macro=""/>
          <xdr14:xfrm>
            <a:off x="7616880" y="3285180"/>
            <a:ext cx="69840" cy="48600"/>
          </xdr14:xfrm>
        </xdr:contentPart>
      </mc:Choice>
      <mc:Fallback xmlns=""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B7093F74-DA69-215B-1228-B735156B3290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7610760" y="3279060"/>
              <a:ext cx="82080" cy="60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251320</xdr:colOff>
      <xdr:row>16</xdr:row>
      <xdr:rowOff>111678</xdr:rowOff>
    </xdr:from>
    <xdr:to>
      <xdr:col>7</xdr:col>
      <xdr:colOff>831005</xdr:colOff>
      <xdr:row>17</xdr:row>
      <xdr:rowOff>4422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67" name="Ink 66">
              <a:extLst>
                <a:ext uri="{FF2B5EF4-FFF2-40B4-BE49-F238E27FC236}">
                  <a16:creationId xmlns:a16="http://schemas.microsoft.com/office/drawing/2014/main" id="{3A1E06D6-AAA1-EC79-D61D-30E1116DB75D}"/>
                </a:ext>
              </a:extLst>
            </xdr14:cNvPr>
            <xdr14:cNvContentPartPr/>
          </xdr14:nvContentPartPr>
          <xdr14:nvPr macro=""/>
          <xdr14:xfrm rot="21600002">
            <a:off x="6442570" y="3159678"/>
            <a:ext cx="1446460" cy="83244"/>
          </xdr14:xfrm>
        </xdr:contentPart>
      </mc:Choice>
      <mc:Fallback xmlns="">
        <xdr:pic>
          <xdr:nvPicPr>
            <xdr:cNvPr id="67" name="Ink 66">
              <a:extLst>
                <a:ext uri="{FF2B5EF4-FFF2-40B4-BE49-F238E27FC236}">
                  <a16:creationId xmlns:a16="http://schemas.microsoft.com/office/drawing/2014/main" id="{3A1E06D6-AAA1-EC79-D61D-30E1116DB75D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 rot="21600002">
              <a:off x="6388571" y="3051569"/>
              <a:ext cx="1554099" cy="299102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3T08:39:38.83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0 23209,'2275'27'0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3T08:40:09.374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0 80 24293,'2196'-80'0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3T08:40:50.194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1 214 24575,'167'2'0,"180"-5"0,-234-10 0,51-2 0,-116 14 0,0-3 0,0-2 0,63-16 0,-14 5 0,194-11 0,-261 27 0,101-11 0,77-2 0,3076 17 0,-1701-5 0,391 2 0,-1925-3 0,1-2 0,75-17 0,-7 0 0,-108 21 0,70-11 0,134-3 0,-5 16-1365,-186-1-5461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3T08:41:14.307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378 121 24575,'-59'2'0,"24"0"0,-59-5 0,86 3 0,0-1 0,1 0 0,-1-1 0,1 0 0,-1 0 0,1-1 0,0 0 0,0 0 0,0 0 0,0-1 0,1 0 0,-1-1 0,-7-6 0,12 8 0,-1 0 0,1-1 0,0 1 0,-1-1 0,2 0 0,-1 0 0,0 0 0,1 0 0,-2-7 0,3 10 0,-1 0 0,1 0 0,0 0 0,-1 0 0,1 0 0,0 0 0,0 0 0,0 0 0,0 0 0,0 0 0,0 0 0,0 0 0,0 0 0,0 0 0,1 0 0,-1 0 0,0 0 0,1 0 0,-1 0 0,0 0 0,1 0 0,-1 0 0,1 0 0,0 1 0,-1-1 0,1 0 0,0 0 0,-1 0 0,1 1 0,0-1 0,0 0 0,0 1 0,0-1 0,0 1 0,0-1 0,0 1 0,-1 0 0,1-1 0,0 1 0,0 0 0,1-1 0,0 1 0,0 0 0,-1 1 0,1-1 0,-1 1 0,0 0 0,1-1 0,-1 1 0,0 0 0,1 0 0,-1 0 0,0 0 0,0 0 0,0 0 0,0 0 0,0 0 0,0 0 0,0 1 0,0-1 0,0 0 0,0 1 0,-1-1 0,1 1 0,-1-1 0,1 1 0,-1-1 0,1 1 0,-1-1 0,0 1 0,0-1 0,0 3 0,5 46 0,-5-52 0,-1 0 0,1 1 0,-1-1 0,1 0 0,-1 0 0,0 0 0,0 0 0,1 1 0,-1-1 0,-1 0 0,1 1 0,0-1 0,0 1 0,-1-1 0,1 1 0,0 0 0,-1-1 0,0 1 0,1 0 0,-1 0 0,0 0 0,1 0 0,-1 0 0,0 1 0,0-1 0,0 1 0,0-1 0,0 1 0,0-1 0,1 1 0,-1 0 0,0 0 0,0 0 0,0 0 0,0 0 0,0 1 0,0-1 0,0 0 0,0 1 0,0 0 0,0-1 0,1 1 0,-1 0 0,0 0 0,0 0 0,1 0 0,-1 0 0,1 0 0,-1 1 0,1-1 0,-1 0 0,1 1 0,0-1 0,0 1 0,-1 0 0,1-1 0,0 1 0,1 0 0,-1 0 0,0-1 0,0 1 0,1 0 0,-1 0 0,1 0 0,-1 4 0,2-9 0,-1 1 0,1-1 0,0 1 0,0 0 0,0-1 0,0 1 0,0 0 0,0 0 0,1 0 0,-1 0 0,1 0 0,-1 0 0,1 0 0,0 0 0,-1 0 0,1 1 0,0-1 0,0 1 0,1 0 0,-1-1 0,0 1 0,0 0 0,1 0 0,-1 0 0,0 1 0,1-1 0,-1 1 0,1-1 0,-1 1 0,4 0 0,11-3 0,-1 2 0,1 0 0,19 2 0,-6 3 0,-1 1 0,0 1 0,0 2 0,-1 1 0,0 1 0,49 26 0,21 7 0,-76-36 0,1 0 0,28 3 0,20 6 0,-116-16 0,19 2 0,-90-1 0,-108-4 0,192-2 0,-1-2 0,1-1 0,1-2 0,0 0 0,0-2 0,-36-20 0,67 32 0,-1 0 0,1 0 0,-1 0 0,1 0 0,-1 0 0,1-1 0,-1 1 0,1 0 0,-1 0 0,1 0 0,-1 0 0,1-1 0,-1 1 0,1 0 0,0-1 0,-1 1 0,1 0 0,-1 0 0,1-1 0,0 1 0,-1-1 0,1 1 0,0 0 0,-1-1 0,1 1 0,0-1 0,0 1 0,-1-1 0,1 1 0,0-1 0,0 1 0,0-1 0,0 1 0,0-1 0,-1 1 0,1-1 0,0 1 0,0-1 0,0 1 0,1-1 0,-1 0 0,25-6 0,49 6 0,-69 1 0,62 1 0,-1 3 0,1 4 0,124 29 0,-271-31 0,70-6 0,-28 0 0,1-1 0,0-2 0,-51-10 0,-74-23 0,198 37 0,-18-2 0,0 1 0,26 3 0,-40-2-35,42 8-630,53 3 0,-70-11-6161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3T09:00:03.553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852 83 24575,'-68'0'0,"-182"-5"0,199 1 0,0-2 0,-94-24 0,116 21 0,9 2 0,0 1 0,-1 1 0,-39-4 0,56 8 0,0 1 0,0 0 0,0 0 0,0 0 0,0 0 0,0 1 0,0 0 0,0 0 0,0 0 0,0 0 0,0 0 0,0 1 0,1 0 0,-1 0 0,1 0 0,-1 0 0,1 0 0,0 1 0,0 0 0,0-1 0,0 1 0,0 0 0,0 0 0,1 1 0,-5 6 0,0 8 0,0 0 0,1 0 0,0 1 0,2 0 0,0 0 0,-2 38 0,6 126 0,2-116 0,-2-41 0,2-1 0,0 1 0,2-1 0,1 0 0,0 0 0,2 0 0,13 30 0,-5-15 0,-8-21 0,0-1 0,1 1 0,1-2 0,12 20 0,-17-32 0,-1-1 0,1 1 0,-1-1 0,1 0 0,1-1 0,-1 1 0,0 0 0,1-1 0,0 0 0,0 0 0,0-1 0,0 0 0,0 1 0,0-1 0,1-1 0,-1 1 0,1-1 0,-1 0 0,8 0 0,217-2 0,-87-3 0,-137 5-85,1-1 0,-1 0-1,0-1 1,0 0 0,0 0-1,0 0 1,0-1 0,0 0-1,0 0 1,0 0 0,0-1-1,-1 0 1,1 0 0,-1 0-1,5-5 1,7-8-6741</inkml:trace>
  <inkml:trace contextRef="#ctx0" brushRef="#br0" timeOffset="1974.2">1010 427 24575,'-8'-1'0,"1"0"0,0 0 0,0-1 0,0 0 0,-8-3 0,-35-7 0,47 12 0,1 0 0,0 0 0,0 0 0,-1 1 0,1-1 0,0 0 0,0 1 0,-1 0 0,1 0 0,0-1 0,0 1 0,0 0 0,0 1 0,0-1 0,0 0 0,0 1 0,1-1 0,-1 1 0,0-1 0,1 1 0,-2 2 0,0 0 0,1 1 0,-1-1 0,1 1 0,1-1 0,-1 1 0,1 0 0,-1-1 0,1 1 0,0 8 0,0 4 0,1 0 0,0 0 0,2-1 0,6 33 0,-3-32 0,1 0 0,1 0 0,0-1 0,1 0 0,1-1 0,1 0 0,0 0 0,1-1 0,0 0 0,1-1 0,1 0 0,0-1 0,0 0 0,27 16 0,-37-25 0,1-1 0,0 0 0,-1 1 0,1-2 0,0 1 0,0 0 0,0-1 0,0 1 0,0-1 0,1 0 0,-1-1 0,0 1 0,0-1 0,1 0 0,-1 0 0,0 0 0,1 0 0,-1-1 0,0 0 0,0 1 0,1-2 0,-1 1 0,0 0 0,0-1 0,0 0 0,4-3 0,-3 1 0,0 0 0,-1-1 0,1 1 0,-1-1 0,0 0 0,-1-1 0,1 1 0,-1-1 0,0 1 0,-1-1 0,1 0 0,-1 0 0,0 0 0,0 0 0,-1 0 0,0-1 0,1-6 0,-1 3-57,0-1 0,-1 0 1,0 0-1,0 1 0,-1-1 0,-1 0 0,0 1 0,0-1 0,-1 1 0,0 0 0,-1 0 1,0 0-1,-1 0 0,0 1 0,0 0 0,-1 0 0,0 0 0,-1 0 0,0 1 1,0 0-1,-1 1 0,0 0 0,-10-8 0,4 6-6769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3T09:00:07.023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1 147 24575,'45'-1'0,"-20"0"0,0 1 0,0 1 0,0 1 0,30 6 0,-47-5 0,0-1 0,-1 1 0,1 0 0,-1 0 0,1 1 0,-1 0 0,0 1 0,-1-1 0,1 1 0,-1 0 0,0 1 0,0 0 0,-1 0 0,1 0 0,-1 0 0,-1 1 0,5 8 0,-3-4 0,-2-1 0,0 1 0,0 0 0,-1 0 0,0 1 0,1 11 0,-4-54 0,1 0 0,9-53 0,-7 68 0,1 0 0,0 0 0,1 0 0,1 1 0,0 0 0,1 0 0,10-15 0,-13 26 0,0-1 0,0 1 0,0 0 0,0 0 0,1 1 0,0-1 0,0 1 0,0 0 0,0 0 0,0 0 0,1 1 0,-1 0 0,1 0 0,-1 0 0,1 1 0,0 0 0,-1 0 0,1 0 0,0 1 0,0 0 0,0 0 0,0 0 0,0 1 0,6 1 0,0 0 0,0 1 0,-1-1 0,0 2 0,1 0 0,-1 0 0,-1 1 0,1 0 0,-1 1 0,0 0 0,0 0 0,10 10 0,1 6 0,-2 1 0,0 0 0,-2 1 0,17 31 0,-15-23 0,45 55 0,-58-81-227,-1 0-1,1-1 1,0 0-1,1 0 1,9 6-1,5 0-6598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3T09:00:08.809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276 0 24565,'-276'159'0,"276"160"0,276-160 0,-1-318 0,-275-160 0,-275 160 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3T09:00:51.62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2056 698 24575,'0'-2'0,"0"1"0,1 0 0,-1 0 0,1 0 0,0 0 0,-1 0 0,1 0 0,0 0 0,0 0 0,0 0 0,-1 0 0,1 0 0,0 0 0,0 1 0,0-1 0,0 0 0,0 1 0,1-1 0,-1 1 0,0-1 0,0 1 0,0-1 0,0 1 0,1 0 0,-1-1 0,0 1 0,2 0 0,41-5 0,-39 5 0,133 0 0,19-1 0,-155 1 0,-1 0 0,1 0 0,0 0 0,0 0 0,0-1 0,0 1 0,-1 0 0,1-1 0,0 0 0,0 1 0,-1-1 0,1 0 0,0 0 0,-1 0 0,1 0 0,-1 0 0,1 0 0,-1 0 0,0 0 0,1-1 0,-1 1 0,0-1 0,0 1 0,1-3 0,-1 0 0,0 1 0,0-1 0,-1 0 0,0 1 0,0-1 0,0 0 0,0 0 0,0 1 0,-2-6 0,1-2 0,3 12 0,1-1 0,-1 0 0,1 1 0,-1 0 0,1-1 0,-1 1 0,1 0 0,-1 0 0,0 1 0,1-1 0,1 2 0,0-1 0,0 1 0,0 0 0,0 1 0,-1-1 0,1 0 0,-1 1 0,0 0 0,0 0 0,0 0 0,-1 0 0,1 0 0,-1 1 0,0-1 0,0 1 0,-1 0 0,1-1 0,-1 1 0,0 0 0,0 0 0,-1 0 0,1 8 0,-2-6 0,1 0 0,-2 0 0,1 0 0,-1-1 0,0 1 0,0 0 0,0-1 0,-1 0 0,0 1 0,-1-1 0,1 0 0,-1-1 0,0 1 0,-8 8 0,11-13 0,1-1 0,0 1 0,-1-1 0,1 1 0,0-1 0,-1 1 0,1-1 0,0 1 0,-1-1 0,1 0 0,-1 1 0,1-1 0,-1 0 0,1 1 0,-1-1 0,1 0 0,-1 1 0,1-1 0,-1 0 0,0 0 0,1 0 0,-1 0 0,1 1 0,-1-1 0,0 0 0,1 0 0,-1 0 0,1 0 0,-1 0 0,0 0 0,1-1 0,-1 1 0,1 0 0,-1 0 0,0-1 0,-5-20 0,11-32 0,-2 42 0,0 1 0,-1-1 0,0 0 0,-1 0 0,0-15 0,-1 23 0,0 0 0,0 0 0,-1 0 0,0 0 0,0 0 0,1 0 0,-1 1 0,-1-1 0,1 0 0,0 1 0,-1-1 0,1 1 0,-1-1 0,0 1 0,0 0 0,0 0 0,0 0 0,0 0 0,0 0 0,-1 0 0,1 1 0,-1-1 0,1 1 0,-1-1 0,-3 0 0,-65-22-1365,47 18-5461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3T09:00:11.709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62 25 24575,'-6'-21'0,"6"21"0,0-1 0,-1 1 0,1 0 0,0 0 0,-1-1 0,1 1 0,0 0 0,-1 0 0,1 0 0,-1-1 0,1 1 0,-1 0 0,1 0 0,0 0 0,-1 0 0,1 0 0,-1 0 0,1 0 0,-1 0 0,1 0 0,-1 0 0,1 0 0,0 0 0,-1 0 0,1 0 0,-1 0 0,0 1 0,-1 0 0,1 0 0,-1 0 0,0 1 0,0-1 0,1 0 0,-1 1 0,0 0 0,1-1 0,0 1 0,-1 0 0,1 0 0,0-1 0,0 1 0,0 0 0,-1 4 0,-4 18 0,1 0 0,1 1 0,2 0 0,0 0 0,2 0 0,4 42 0,-1 1 0,-4-8 0,0-22 0,8 71 0,-5-97 0,0 1 0,1-1 0,1 0 0,0 0 0,0-1 0,1 1 0,1-1 0,0 0 0,13 18 0,0-3-119,-11-13 182,1-1-1,0-1 1,21 20 0,-27-29-142,0 1 0,1-1 1,-1 1-1,1-1 0,-1 0 0,1-1 0,0 1 1,0-1-1,-1 1 0,1-1 0,0 0 1,0-1-1,1 1 0,-1-1 0,0 1 0,0-1 1,0 0-1,6-2 0,14-3-6747</inkml:trace>
  <inkml:trace contextRef="#ctx0" brushRef="#br0" timeOffset="2096.98">353 316 24575,'-4'-1'0,"1"1"0,-1 0 0,1-1 0,0 1 0,-1-1 0,1 0 0,0 0 0,0-1 0,-1 1 0,1 0 0,0-1 0,1 0 0,-1 0 0,0 0 0,0 0 0,1 0 0,-1-1 0,1 1 0,0-1 0,0 1 0,0-1 0,0 0 0,0 0 0,0 0 0,1 0 0,-1 0 0,1 0 0,0-1 0,0 1 0,0 0 0,1-1 0,-1-4 0,-2-11 0,1 0 0,1-1 0,1 1 0,3-26 0,-2 38 0,0 1 0,0 0 0,0 0 0,1 0 0,0 0 0,0 0 0,1 0 0,0 1 0,0-1 0,0 1 0,1-1 0,-1 1 0,6-5 0,-8 9 0,1-1 0,-1 1 0,1-1 0,0 1 0,0 0 0,-1 0 0,1 0 0,0 0 0,0 0 0,0 0 0,0 1 0,0-1 0,0 1 0,0-1 0,0 1 0,0 0 0,1 0 0,-1 0 0,0 0 0,0 0 0,0 0 0,0 0 0,0 1 0,0-1 0,0 1 0,0 0 0,0-1 0,0 1 0,0 0 0,0 0 0,0 0 0,-1 1 0,1-1 0,0 0 0,-1 1 0,1-1 0,-1 1 0,1-1 0,-1 1 0,0 0 0,0-1 0,1 3 0,10 13 0,-1 1 0,-1 1 0,-1-1 0,0 2 0,-1-1 0,-2 1 0,0 0 0,5 29 0,7 21 0,-18-69 0,0 0 0,0 1 0,0-1 0,1 1 0,-1-1 0,1 1 0,-1-1 0,1 0 0,-1 1 0,1-1 0,0 0 0,0 1 0,-1-1 0,1 0 0,0 0 0,0 0 0,0 0 0,0 0 0,2 1 0,-2-3 0,-1 0 0,1 0 0,0 1 0,-1-1 0,1 0 0,0-1 0,-1 1 0,1 0 0,-1 0 0,0 0 0,1 0 0,-1 0 0,0 0 0,0 0 0,0-1 0,0 1 0,0-1 0,4-66 0,-4 39 0,-1 14 0,1 0 0,1 0 0,0 0 0,1 0 0,4-15 0,-5 26 0,0 0 0,1 1 0,-1-1 0,1 1 0,0-1 0,0 1 0,0 0 0,0-1 0,1 1 0,0 0 0,-1 0 0,1 1 0,0-1 0,0 1 0,0-1 0,1 1 0,-1 0 0,0 0 0,1 0 0,0 1 0,-1-1 0,1 1 0,0 0 0,5-1 0,-2 1 0,1 0 0,-1 0 0,1 0 0,-1 1 0,1 0 0,0 1 0,-1-1 0,1 1 0,-1 1 0,0 0 0,1 0 0,-1 0 0,0 1 0,0 0 0,0 0 0,0 1 0,-1 0 0,0 0 0,1 0 0,-1 1 0,-1 0 0,1 0 0,-1 1 0,0 0 0,0 0 0,-1 0 0,1 0 0,3 8 0,104 217 0,-98-211-1365,-3-9-5461</inkml:trace>
  <inkml:trace contextRef="#ctx0" brushRef="#br0" timeOffset="3267.03">433 686 24575,'0'0'-8191</inkml:trace>
  <inkml:trace contextRef="#ctx0" brushRef="#br0" timeOffset="6214.03">538 686 24575,'-3'0'0,"1"0"0,-1 1 0,1-1 0,0 1 0,-1 0 0,1 0 0,0 0 0,0 0 0,-1 0 0,1 0 0,0 1 0,0-1 0,0 1 0,1-1 0,-1 1 0,0 0 0,1 0 0,-1-1 0,1 1 0,-1 0 0,1 1 0,0-1 0,0 0 0,0 0 0,0 0 0,0 1 0,0-1 0,1 1 0,-1-1 0,1 5 0,-1-4 0,0 0 0,1 0 0,0-1 0,0 1 0,0 0 0,0 0 0,0 0 0,0 0 0,1 0 0,-1-1 0,1 1 0,0 0 0,0 0 0,0-1 0,0 1 0,1-1 0,-1 1 0,1-1 0,-1 1 0,1-1 0,0 0 0,0 0 0,0 0 0,0 0 0,0 0 0,4 2 0,-2-2 0,-1 0 0,1 0 0,0-1 0,-1 1 0,1-1 0,0 0 0,0 0 0,0 0 0,0-1 0,0 0 0,0 1 0,0-1 0,0-1 0,0 1 0,0-1 0,0 1 0,0-1 0,0 0 0,0 0 0,-1-1 0,6-2 0,-5 2 0,-1-1 0,0 0 0,0 0 0,0 0 0,0 0 0,0 0 0,0-1 0,-1 1 0,0-1 0,0 0 0,0 0 0,0 0 0,0 0 0,-1 0 0,0 0 0,0 0 0,0 0 0,1-9 0,-2 12-81,0-7 283,-4 8-1688,-3 6-5340</inkml:trace>
  <inkml:trace contextRef="#ctx0" brushRef="#br0" timeOffset="-189150.31">1411 237 24575,'-37'0'0,"1"3"0,0 1 0,0 2 0,1 1 0,-1 2 0,1 1 0,1 2 0,-62 30 0,93-40 0,-1 0 0,0 0 0,0 1 0,1 0 0,-1-1 0,1 1 0,0 0 0,0 1 0,0-1 0,0 1 0,0-1 0,1 1 0,0 0 0,-1 0 0,2 0 0,-1 0 0,0 0 0,1 0 0,0 0 0,0 1 0,0-1 0,0 0 0,1 1 0,-1-1 0,1 1 0,0-1 0,1 1 0,-1-1 0,1 0 0,2 8 0,0-3 0,0 1 0,1-1 0,0 0 0,1 0 0,0 0 0,0-1 0,1 0 0,0 0 0,0 0 0,1 0 0,0-1 0,16 12 0,-16-14 0,1 0 0,0 0 0,0-1 0,0 0 0,0-1 0,1 0 0,0 0 0,-1-1 0,1 0 0,14 1 0,5-1 0,0-2 0,29-3 0,-27 1 0,50 2 0,-70 1 0,-1 0 0,1 1 0,-1 0 0,0 1 0,0 0 0,0 0 0,0 1 0,0 0 0,11 7 0,-7-2 0,0 1 0,22 20 0,-33-28 0,1 0 0,-1 1 0,1-1 0,-1 1 0,0 0 0,0-1 0,0 1 0,-1 0 0,1 0 0,-1 0 0,1 0 0,-1 1 0,0-1 0,0 0 0,-1 0 0,1 1 0,-1-1 0,1 0 0,-1 1 0,0 3 0,-1-5 0,0 0 0,-1 1 0,1-1 0,0 0 0,-1 0 0,1 0 0,-1-1 0,0 1 0,0 0 0,0 0 0,0-1 0,0 0 0,0 1 0,0-1 0,0 0 0,0 0 0,0 0 0,-1 0 0,1 0 0,-1 0 0,1-1 0,0 1 0,-1-1 0,-2 0 0,-67 5 0,64-5 0,-562-5-1365,547 5-5461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3T09:04:15.450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194 135 24575,'-5'0'0,"-1"-5"0,0-6 0,1-5 0,-2-5 0,-6 2 0,0-1 0,-2 3 0,-8 5 0,-4 3 0,-2 5 0,3 6 0,7 4-8191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3T09:04:55.253"/>
    </inkml:context>
    <inkml:brush xml:id="br0">
      <inkml:brushProperty name="width" value="0.3" units="cm"/>
      <inkml:brushProperty name="height" value="0.6" units="cm"/>
      <inkml:brushProperty name="color" value="#FFFF81"/>
      <inkml:brushProperty name="tip" value="rectangle"/>
      <inkml:brushProperty name="rasterOp" value="maskPen"/>
      <inkml:brushProperty name="ignorePressure" value="1"/>
    </inkml:brush>
  </inkml:definitions>
  <inkml:trace contextRef="#ctx0" brushRef="#br0">0 0 0,'116'230'0,"3785"-230"0,-4017-230 0,-3785 230 0</inkml:trace>
</inkml: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1E2F73-7CED-4FDE-81DB-A61E794845AB}" name="Table1" displayName="Table1" ref="A1:I10" totalsRowShown="0" headerRowDxfId="135" headerRowBorderDxfId="134" tableBorderDxfId="133" totalsRowBorderDxfId="132" headerRowCellStyle="40% - Accent1">
  <autoFilter ref="A1:I10" xr:uid="{3C1E2F73-7CED-4FDE-81DB-A61E794845AB}"/>
  <tableColumns count="9">
    <tableColumn id="1" xr3:uid="{A73BD6C2-6641-474F-83B7-3D6131BFC3D1}" name="Employee ID" dataDxfId="131" dataCellStyle="20% - Accent4"/>
    <tableColumn id="2" xr3:uid="{90E53E8E-938C-49B3-AB6E-CCC96919ABDF}" name="FirstName" dataDxfId="130"/>
    <tableColumn id="3" xr3:uid="{B5FA50B3-BEB1-4EE1-BF66-0C09B4D08FE6}" name="LastName" dataDxfId="129"/>
    <tableColumn id="4" xr3:uid="{48375DFB-37AD-4717-B443-F7C92CD0D8B8}" name="Age" dataDxfId="128"/>
    <tableColumn id="5" xr3:uid="{28794713-14E6-443C-8A72-4014E373F051}" name="Gender" dataDxfId="127"/>
    <tableColumn id="6" xr3:uid="{A396EBB5-64DC-4C6D-90E8-B15C4986E193}" name="JobTitle" dataDxfId="126"/>
    <tableColumn id="7" xr3:uid="{95FE1080-A811-4DD3-89F6-669164DFD938}" name="Salary" dataDxfId="125" dataCellStyle="Currency"/>
    <tableColumn id="8" xr3:uid="{E5E3F932-0622-4256-914B-EF454BE2814A}" name="StartDate" dataDxfId="124"/>
    <tableColumn id="9" xr3:uid="{B5F4D3ED-3A7E-44BA-B0CA-E2DB15BE52A8}" name="EndDate" dataDxfId="123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D626494-7502-420F-A433-AF17374D7203}" name="Table5" displayName="Table5" ref="A1:I10" totalsRowShown="0" headerRowDxfId="122" headerRowBorderDxfId="121" tableBorderDxfId="120" totalsRowBorderDxfId="119" headerRowCellStyle="Accent2">
  <autoFilter ref="A1:I10" xr:uid="{4D626494-7502-420F-A433-AF17374D7203}"/>
  <tableColumns count="9">
    <tableColumn id="1" xr3:uid="{167B29FF-8543-49A7-8597-B4C280DFBC26}" name="EmployeeID" dataDxfId="118"/>
    <tableColumn id="2" xr3:uid="{2835C584-9A75-4860-836D-1DC32FC5212C}" name="FirstName" dataDxfId="117"/>
    <tableColumn id="3" xr3:uid="{5E075C56-A167-417A-A541-7E49637E1631}" name="LastName" dataDxfId="116"/>
    <tableColumn id="4" xr3:uid="{F2CB034D-09CA-4B92-91D0-EEFDF51F6B3E}" name="Age" dataDxfId="115"/>
    <tableColumn id="5" xr3:uid="{F9ECC7F5-CEFD-4E7C-8A0F-D3F32B3DFBBE}" name="Gender" dataDxfId="114"/>
    <tableColumn id="6" xr3:uid="{EF20669E-2172-4445-A8FC-640FA2A4811D}" name="JobTitle" dataDxfId="113"/>
    <tableColumn id="7" xr3:uid="{CC0FDA04-1B0D-4AB8-9457-80652C6E8742}" name="Salary" dataDxfId="112"/>
    <tableColumn id="8" xr3:uid="{E954E3B1-4987-4D00-AD7F-7A61AA25D5D3}" name="StartDate" dataDxfId="111"/>
    <tableColumn id="9" xr3:uid="{D0286410-A007-4C9D-81F1-0F5579EE1010}" name="EndDate" dataDxfId="110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8A5CC51-CD55-4036-BB29-B7C4CE523C22}" name="Table4" displayName="Table4" ref="J1:K10" totalsRowShown="0" headerRowDxfId="109" headerRowCellStyle="Accent2">
  <autoFilter ref="J1:K10" xr:uid="{88A5CC51-CD55-4036-BB29-B7C4CE523C22}"/>
  <tableColumns count="2">
    <tableColumn id="1" xr3:uid="{77320EEC-385A-43D5-8618-F33CAEE922DF}" name="work hours" dataDxfId="108">
      <calculatedColumnFormula>IF(Table5[[#This Row],[Gender]] = "Male", "6.5 hours","4.5 hours")</calculatedColumnFormula>
    </tableColumn>
    <tableColumn id="2" xr3:uid="{5426C905-69CB-4E0C-B5BA-7F6A380459F6}" name="Department" dataDxfId="107">
      <calculatedColumnFormula array="1">_xlfn.IFS(Table5[[#This Row],[JobTitle]]="Salesman","Sales",Table5[[#This Row],[JobTitle]]="Receptionist","Administration",Table5[[#This Row],[JobTitle]]="Regional Manager","Sales",Table5[[#This Row],[JobTitle]]="Supplier Relations","Sales",Table5[[#This Row],[JobTitle]]="HR","Administration", Table5[[#This Row],[JobTitle]]="Accountant","Finance", TRUE,"Other")</calculatedColumnFormula>
    </tableColumn>
  </tableColumns>
  <tableStyleInfo name="TableStyleLight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131046-CF2F-42D8-85CA-D94A12C3DB57}" name="Table2" displayName="Table2" ref="A1:K10" totalsRowShown="0" headerRowDxfId="106" headerRowBorderDxfId="105" tableBorderDxfId="104" totalsRowBorderDxfId="103" headerRowCellStyle="Good">
  <autoFilter ref="A1:K10" xr:uid="{4B131046-CF2F-42D8-85CA-D94A12C3DB57}"/>
  <tableColumns count="11">
    <tableColumn id="1" xr3:uid="{BDACEEFC-B8A2-4408-B271-E1930E22B757}" name="EmployeeID" dataDxfId="102"/>
    <tableColumn id="2" xr3:uid="{46679EE5-0A0E-47F4-B7F0-FC3F2DA0BBC5}" name="FirstName" dataDxfId="101"/>
    <tableColumn id="3" xr3:uid="{B8D6178E-401B-4A0E-A61B-D3B0DDBFFFB2}" name="LastName" dataDxfId="100"/>
    <tableColumn id="4" xr3:uid="{3D731EE4-DD80-44B1-A29A-80B89F687529}" name="Age" dataDxfId="99"/>
    <tableColumn id="5" xr3:uid="{70881B89-7DEA-4E5B-8E12-E7E3C6022D6A}" name="Gender" dataDxfId="98"/>
    <tableColumn id="6" xr3:uid="{5C2017D3-D5FB-4B29-87F6-DD03C7A56E8D}" name="JobTitle" dataDxfId="97"/>
    <tableColumn id="7" xr3:uid="{7A6FBD81-7460-494C-BACC-8D218E0767E1}" name="Salary" dataDxfId="96"/>
    <tableColumn id="8" xr3:uid="{A3576C37-30C5-4F59-B41E-060E5BEAB3DC}" name="StartDate" dataDxfId="95"/>
    <tableColumn id="9" xr3:uid="{7FA99A0A-08B3-47F4-8380-D360D7FDD7B5}" name="EndDate" dataDxfId="94"/>
    <tableColumn id="10" xr3:uid="{5D1EC965-729E-4AE8-985B-14809B22CDCA}" name="LEN(B2)" dataDxfId="93">
      <calculatedColumnFormula>LEN(Table2[[#This Row],[FirstName]])</calculatedColumnFormula>
    </tableColumn>
    <tableColumn id="11" xr3:uid="{BB866EE9-2744-4261-9E9E-36858FEE0933}" name="department" dataDxfId="92">
      <calculatedColumnFormula array="1">_xlfn.IFS(Table5[[#This Row],[JobTitle]]="Salesman","Sales",Table5[[#This Row],[JobTitle]]="Receptionist","Administration",Table5[[#This Row],[JobTitle]]="Regional Manager","Sales",Table5[[#This Row],[JobTitle]]="Supplier Relations","Sales",Table5[[#This Row],[JobTitle]]="HR","Administration", Table5[[#This Row],[JobTitle]]="Accountant","Finance", TRUE,"Other")</calculatedColumnFormula>
    </tableColumn>
  </tableColumns>
  <tableStyleInfo name="TableStyleMedium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63454FE-E7AD-43C5-848C-E7F2139307C2}" name="Table3" displayName="Table3" ref="B1:L10" totalsRowShown="0" headerRowDxfId="91" headerRowBorderDxfId="90" tableBorderDxfId="89" totalsRowBorderDxfId="88">
  <autoFilter ref="B1:L10" xr:uid="{E63454FE-E7AD-43C5-848C-E7F2139307C2}"/>
  <tableColumns count="11">
    <tableColumn id="1" xr3:uid="{F28C2C84-7A18-4A91-9C37-C578018BDD69}" name="FirstName" dataDxfId="87"/>
    <tableColumn id="2" xr3:uid="{0668B0BD-67D7-49FE-AA8E-A15A0CFC35CA}" name="LastName" dataDxfId="86"/>
    <tableColumn id="3" xr3:uid="{656D48FB-E220-4A54-A7BF-40BC77AE4BF3}" name="Age" dataDxfId="85"/>
    <tableColumn id="4" xr3:uid="{71A0F3C3-6B31-46AE-B809-4B270D179097}" name="Gender" dataDxfId="84"/>
    <tableColumn id="5" xr3:uid="{1A958C6A-89CF-4821-B4A7-D02E99992AB9}" name="JobTitle" dataDxfId="83"/>
    <tableColumn id="6" xr3:uid="{3AFEF630-B2C7-4685-8825-89078223DC05}" name="Salary" dataDxfId="82" dataCellStyle="Currency"/>
    <tableColumn id="7" xr3:uid="{9CC4E007-6EF1-479C-8E43-67E060700180}" name="StartDate" dataDxfId="81"/>
    <tableColumn id="8" xr3:uid="{30A3B329-166E-4351-BEB9-BC92B15F73B8}" name="EndDate" dataDxfId="80"/>
    <tableColumn id="9" xr3:uid="{1AB47596-D1C2-49C3-815E-36F50192C888}" name="Email" dataDxfId="79"/>
    <tableColumn id="10" xr3:uid="{0E4CF424-E7D9-41AF-A281-C4B9186DCB6E}" name="Left" dataDxfId="78">
      <calculatedColumnFormula>LEFT(Table3[[#This Row],[FirstName]],4)</calculatedColumnFormula>
    </tableColumn>
    <tableColumn id="11" xr3:uid="{4314CB60-15BB-4B9F-BD1C-B9E81FAAD614}" name="Right" dataDxfId="77">
      <calculatedColumnFormula>RIGHT(Table6[[#This Row],[EmployeeID]],3)</calculatedColumnFormula>
    </tableColumn>
  </tableColumns>
  <tableStyleInfo name="TableStyleMedium2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95BD6BB-2C2D-4519-B731-F386558812A5}" name="Table6" displayName="Table6" ref="A1:A10" totalsRowShown="0">
  <autoFilter ref="A1:A10" xr:uid="{A95BD6BB-2C2D-4519-B731-F386558812A5}"/>
  <tableColumns count="1">
    <tableColumn id="1" xr3:uid="{319D4B96-5D4D-4739-83C9-3C51DE66FF25}" name="EmployeeID"/>
  </tableColumns>
  <tableStyleInfo name="TableStyleMedium2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A8E3FCA-9798-44C4-A6FB-47B954098027}" name="Table7" displayName="Table7" ref="A1:L10" totalsRowShown="0" headerRowDxfId="76" headerRowBorderDxfId="75" tableBorderDxfId="74" totalsRowBorderDxfId="73">
  <autoFilter ref="A1:L10" xr:uid="{0A8E3FCA-9798-44C4-A6FB-47B95409802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56E4F109-9BD2-499E-956F-606CBFCA401C}" name="EmployeeID" dataDxfId="72"/>
    <tableColumn id="2" xr3:uid="{66689B85-CE03-496A-98BF-16E0D8C941A4}" name="FirstName" dataDxfId="71"/>
    <tableColumn id="3" xr3:uid="{54486DCB-DFE2-4882-9F83-92273282023D}" name="LastName" dataDxfId="70"/>
    <tableColumn id="4" xr3:uid="{80350583-C116-477B-8CE2-E58F314A75A2}" name="Age" dataDxfId="69"/>
    <tableColumn id="5" xr3:uid="{01B11E12-937E-435C-B89B-B012D289B16B}" name="Gender" dataDxfId="68"/>
    <tableColumn id="6" xr3:uid="{2C5633B5-8983-4557-AF3C-8A4424907466}" name="JobTitle" dataDxfId="67"/>
    <tableColumn id="7" xr3:uid="{5D03E28B-345D-4DD7-ACA9-9027E1972D0C}" name="Salary" dataDxfId="66" dataCellStyle="Currency"/>
    <tableColumn id="8" xr3:uid="{BFBBF9FD-DE09-4733-BF76-3C60F43B9E7A}" name="StartDate" dataDxfId="65"/>
    <tableColumn id="9" xr3:uid="{11BB7F7C-A655-44BC-82FE-CB64644B8874}" name="EndDate" dataDxfId="64"/>
    <tableColumn id="12" xr3:uid="{73B4B666-8AE0-407B-9B85-A7FC39B72B82}" name="general formate of date" dataDxfId="63">
      <calculatedColumnFormula>RIGHT(Table7[[#This Row],[StartDate]],4)</calculatedColumnFormula>
    </tableColumn>
    <tableColumn id="10" xr3:uid="{44543CCC-C1DB-453A-A1F8-7DED79ECEB67}" name="TEXT(H2,&quot;yyyy/mm/dd&quot;)" dataDxfId="62">
      <calculatedColumnFormula>TEXT(Table7[[#This Row],[StartDate]],"yyyy/mm/dd")</calculatedColumnFormula>
    </tableColumn>
    <tableColumn id="11" xr3:uid="{1FB54988-F533-44BB-9BFC-97CF0DCC9549}" name="year only" dataDxfId="61">
      <calculatedColumnFormula>TEXT(Table7[[#This Row],[TEXT(H2,"yyyy/mm/dd")]],"yy")</calculatedColumnFormula>
    </tableColumn>
  </tableColumns>
  <tableStyleInfo name="TableStyleMedium2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C42B9E3-9D29-463F-A4C8-F41AE136061E}" name="Table8" displayName="Table8" ref="A1:K10" totalsRowShown="0">
  <autoFilter ref="A1:K10" xr:uid="{1C42B9E3-9D29-463F-A4C8-F41AE136061E}"/>
  <tableColumns count="11">
    <tableColumn id="1" xr3:uid="{9AE08E91-E0F4-4DBA-8A46-AA8591CFE004}" name="EmployeeID"/>
    <tableColumn id="2" xr3:uid="{33521A29-B1AA-4A9C-8200-853A3CA0CF1A}" name="FirstName" dataDxfId="60"/>
    <tableColumn id="3" xr3:uid="{5C2D7B2C-D835-4418-8D17-7D4DB88CC1FE}" name="LastName" dataDxfId="59"/>
    <tableColumn id="4" xr3:uid="{95EC671F-5F55-45A2-9419-D223B30B9F91}" name="Age"/>
    <tableColumn id="5" xr3:uid="{1A23DAEC-F99B-471E-8F14-48764664D014}" name="Gender"/>
    <tableColumn id="6" xr3:uid="{CBE58923-9005-4EFF-8A8D-414D0BF4C3FA}" name="JobTitle"/>
    <tableColumn id="7" xr3:uid="{AB757224-C3AC-489E-BC9E-5680098982A4}" name="Salary" dataCellStyle="Currency"/>
    <tableColumn id="8" xr3:uid="{C106CE20-5344-4B13-8A59-1902E64F39AD}" name="StartDate" dataDxfId="58"/>
    <tableColumn id="9" xr3:uid="{4848E450-A267-411C-93C9-DFBDD385069F}" name="EndDate" dataDxfId="57"/>
    <tableColumn id="10" xr3:uid="{D9F62EC1-5BDD-43A5-9DC2-A4106A817BBA}" name="TRIM(C2)" dataDxfId="56">
      <calculatedColumnFormula>TRIM(Table8[[#This Row],[LastName]])</calculatedColumnFormula>
    </tableColumn>
    <tableColumn id="11" xr3:uid="{BB7CEEFB-33A6-40F4-BC5D-F4BD5DF6C56D}" name="Column1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3D39982-F14C-4508-8F76-78E895121CA8}" name="Table9" displayName="Table9" ref="A1:J10" totalsRowShown="0" headerRowDxfId="55" headerRowBorderDxfId="54" tableBorderDxfId="53" totalsRowBorderDxfId="52">
  <autoFilter ref="A1:J10" xr:uid="{D3D39982-F14C-4508-8F76-78E895121CA8}"/>
  <tableColumns count="10">
    <tableColumn id="1" xr3:uid="{BAFB3DD2-D2B6-4E28-B219-E6AA35767406}" name="EmployeeID" dataDxfId="51"/>
    <tableColumn id="2" xr3:uid="{3F131584-F81E-43D3-8628-6BB1C60F5AEF}" name="FirstName" dataDxfId="50"/>
    <tableColumn id="3" xr3:uid="{1BC5C347-E5A9-4C36-94D9-4F9332C0E6A5}" name="LastName" dataDxfId="49"/>
    <tableColumn id="4" xr3:uid="{20F47F2F-DA92-422D-B483-BE7F8C553F6F}" name="Age" dataDxfId="48"/>
    <tableColumn id="5" xr3:uid="{B969785E-31D7-4D3F-BDE8-2B35D00113EE}" name="Gender" dataDxfId="47"/>
    <tableColumn id="6" xr3:uid="{14EFB626-850F-486B-875D-EFC67D4EA695}" name="JobTitle" dataDxfId="46"/>
    <tableColumn id="7" xr3:uid="{A22A467E-0FD2-4E83-9A72-294626EB8576}" name="Salary" dataDxfId="45"/>
    <tableColumn id="8" xr3:uid="{AEC07452-D29A-4480-9BBA-8DA37F781CE4}" name="StartDate" dataDxfId="44"/>
    <tableColumn id="9" xr3:uid="{378FA909-7F5B-4F49-87E9-0ACEFC1FA151}" name="EndDate" dataDxfId="43"/>
    <tableColumn id="10" xr3:uid="{F305313C-7769-4F84-AA21-EC3F84C82AC9}" name="Column1" dataDxfId="42">
      <calculatedColumnFormula>SUBSTITUTE(Table9[[#This Row],[StartDate]],"/","|",1)</calculatedColumnFormula>
    </tableColumn>
  </tableColumns>
  <tableStyleInfo name="TableStyleMedium16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9425775-191A-47AD-927D-D4025ECB59D0}" name="Table10" displayName="Table10" ref="A1:L10" totalsRowShown="0" headerRowDxfId="41" headerRowBorderDxfId="40" tableBorderDxfId="39" totalsRowBorderDxfId="38">
  <autoFilter ref="A1:L10" xr:uid="{19425775-191A-47AD-927D-D4025ECB59D0}"/>
  <tableColumns count="12">
    <tableColumn id="1" xr3:uid="{4514D124-EF47-4B2F-9907-EE7B54657D9A}" name="EmployeeID" dataDxfId="37"/>
    <tableColumn id="2" xr3:uid="{56432693-B128-4D0D-94A4-7CE156E7BAF4}" name="FirstName" dataDxfId="36"/>
    <tableColumn id="3" xr3:uid="{1063DE71-908C-4EE6-AEB9-AC07B74AC116}" name="LastName" dataDxfId="35"/>
    <tableColumn id="4" xr3:uid="{865E899F-6C15-4A11-BD9E-57858449B78A}" name="Age" dataDxfId="34"/>
    <tableColumn id="5" xr3:uid="{64605DC7-0DB9-45B4-AD01-BB24AA1AB908}" name="Gender" dataDxfId="33"/>
    <tableColumn id="6" xr3:uid="{FE58B6BA-B608-458F-8807-37D2E7FCE30D}" name="JobTitle" dataDxfId="32"/>
    <tableColumn id="7" xr3:uid="{A0AB8399-C9F9-4A0B-B84C-F731901A5570}" name="Salary" dataDxfId="31" dataCellStyle="Currency"/>
    <tableColumn id="8" xr3:uid="{50BB1505-AA93-4E8E-A74D-DB83E46DC97A}" name="StartDate" dataDxfId="30"/>
    <tableColumn id="9" xr3:uid="{CD63C1A3-65E1-4650-8C99-507E068DED3B}" name="EndDate" dataDxfId="29"/>
    <tableColumn id="10" xr3:uid="{3765211F-679F-44E6-A304-E58C7587DBE3}" name="userid using concate" dataDxfId="28">
      <calculatedColumnFormula>CONCATENATE(Table10[[#This Row],[FirstName]],Table10[[#This Row],[LastName]],Table10[[#This Row],[Column1]])</calculatedColumnFormula>
    </tableColumn>
    <tableColumn id="11" xr3:uid="{77B5790D-9F5E-404D-84F4-EA856378E023}" name="Column1" dataDxfId="27">
      <calculatedColumnFormula>RIGHT(Table10[[#This Row],[EmployeeID]],3)</calculatedColumnFormula>
    </tableColumn>
    <tableColumn id="12" xr3:uid="{3B0F8FF6-D135-43A5-9B22-ACBD8C2210CE}" name="emplyoyee email by office" dataDxfId="26">
      <calculatedColumnFormula>CONCATENATE(Table10[[#This Row],[FirstName]],Table10[[#This Row],[LastName]],Table10[[#This Row],[Column1]],"@nrlbhilai.com")</calculatedColumnFormula>
    </tableColumn>
  </tableColumns>
  <tableStyleInfo name="TableStyleMedium23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6741DE0-7574-4C5C-B601-2750F0A92CF3}" name="Table11" displayName="Table11" ref="A1:I10" totalsRowShown="0" headerRowDxfId="25" headerRowBorderDxfId="24" tableBorderDxfId="23" totalsRowBorderDxfId="22">
  <autoFilter ref="A1:I10" xr:uid="{76741DE0-7574-4C5C-B601-2750F0A92CF3}"/>
  <tableColumns count="9">
    <tableColumn id="1" xr3:uid="{75C77CB1-C49B-4E31-A4EE-8334F42B7E97}" name="EmployeeID" dataDxfId="21"/>
    <tableColumn id="2" xr3:uid="{6F8EDBB4-4D53-4A17-AD9B-2AA220D09D59}" name="FirstName" dataDxfId="20"/>
    <tableColumn id="3" xr3:uid="{B9C7A833-C35E-44EE-8628-94CF4346DE58}" name="LastName" dataDxfId="19"/>
    <tableColumn id="4" xr3:uid="{237A714C-EDC6-4C33-9BDD-07D6C7AB0142}" name="Age" dataDxfId="18"/>
    <tableColumn id="5" xr3:uid="{FAA4F8FA-AB3D-485D-82E4-75B4D272CE9B}" name="Gender" dataDxfId="17"/>
    <tableColumn id="6" xr3:uid="{6BFE11CC-10C5-4B80-8A54-5150A05E887C}" name="JobTitle" dataDxfId="16"/>
    <tableColumn id="7" xr3:uid="{9461659E-B660-4BFB-86AF-B894B50F24B9}" name="Salary" dataDxfId="15" dataCellStyle="Currency"/>
    <tableColumn id="8" xr3:uid="{9B093315-F46F-4B5E-9ED6-946F67669348}" name="StartDate" dataDxfId="14"/>
    <tableColumn id="9" xr3:uid="{D7145C86-8F9E-4446-9BA7-EB11CA7E6058}" name="EndDate" dataDxfId="13"/>
  </tableColumns>
  <tableStyleInfo name="TableStyleDark1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600E385-0B7F-476D-8D87-DE89333217C4}" name="Table12" displayName="Table12" ref="A1:I10" totalsRowShown="0" headerRowDxfId="12" headerRowBorderDxfId="11" tableBorderDxfId="10" totalsRowBorderDxfId="9">
  <autoFilter ref="A1:I10" xr:uid="{8600E385-0B7F-476D-8D87-DE89333217C4}"/>
  <tableColumns count="9">
    <tableColumn id="1" xr3:uid="{1D1D8DE9-F2FD-416A-94DB-15DFF41B43B0}" name="EmployeeID" dataDxfId="8"/>
    <tableColumn id="2" xr3:uid="{4515FE3D-1F72-41A7-AB43-A5AE7B65B900}" name="FirstName" dataDxfId="7"/>
    <tableColumn id="3" xr3:uid="{F4DEE7FB-824B-47A9-88FB-DB3299A47BDC}" name="LastName" dataDxfId="6"/>
    <tableColumn id="4" xr3:uid="{7D8FB9C7-A24A-4552-8F30-E9A9699218BD}" name="Age" dataDxfId="5"/>
    <tableColumn id="5" xr3:uid="{D1368569-2411-4423-82EF-88764357E54E}" name="Gender" dataDxfId="4"/>
    <tableColumn id="6" xr3:uid="{1CCE7B53-ACE5-4219-896C-F05946584E9B}" name="JobTitle" dataDxfId="3"/>
    <tableColumn id="7" xr3:uid="{E7EFF4E3-EC2F-445A-B142-94D9FB1500C9}" name="Salary" dataDxfId="2"/>
    <tableColumn id="8" xr3:uid="{9AC35622-7754-4C72-B445-0177E6EE1A78}" name="StartDate" dataDxfId="1"/>
    <tableColumn id="9" xr3:uid="{9302D0DA-1E3C-4243-A79E-E1ED7E07F49C}" name="EndDate" dataDxfId="0"/>
  </tableColumns>
  <tableStyleInfo name="TableStyleMedium2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  <wetp:taskpane dockstate="right" visibility="0" width="350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D2258D7B-5AAF-43EC-97CF-8A39AA8636BD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keuDy6cH4SQCHunzkeGzL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87809DB-BC45-4ACE-B8C7-A4EA141B0B24}">
  <we:reference id="wa200005669" version="2.0.0.0" store="en-US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7546-D251-4908-B99A-2A3B4BFE22EA}">
  <sheetPr codeName="Sheet1">
    <tabColor theme="9"/>
  </sheetPr>
  <dimension ref="A1:J16"/>
  <sheetViews>
    <sheetView workbookViewId="0">
      <selection activeCell="B15" sqref="B15"/>
    </sheetView>
  </sheetViews>
  <sheetFormatPr defaultColWidth="13.7109375" defaultRowHeight="15" x14ac:dyDescent="0.25"/>
  <cols>
    <col min="1" max="1" width="20.140625" customWidth="1"/>
    <col min="4" max="4" width="7.7109375" customWidth="1"/>
  </cols>
  <sheetData>
    <row r="1" spans="1:10" x14ac:dyDescent="0.25">
      <c r="A1" s="13" t="s">
        <v>85</v>
      </c>
      <c r="B1" s="14" t="s">
        <v>0</v>
      </c>
      <c r="C1" s="14" t="s">
        <v>1</v>
      </c>
      <c r="D1" s="14" t="s">
        <v>23</v>
      </c>
      <c r="E1" s="14" t="s">
        <v>24</v>
      </c>
      <c r="F1" s="14" t="s">
        <v>21</v>
      </c>
      <c r="G1" s="14" t="s">
        <v>22</v>
      </c>
      <c r="H1" s="14" t="s">
        <v>36</v>
      </c>
      <c r="I1" s="15" t="s">
        <v>37</v>
      </c>
    </row>
    <row r="2" spans="1:10" x14ac:dyDescent="0.25">
      <c r="A2" s="22">
        <v>1001</v>
      </c>
      <c r="B2" s="4" t="s">
        <v>2</v>
      </c>
      <c r="C2" s="4" t="s">
        <v>3</v>
      </c>
      <c r="D2" s="4">
        <v>30</v>
      </c>
      <c r="E2" s="4" t="s">
        <v>26</v>
      </c>
      <c r="F2" s="4" t="s">
        <v>25</v>
      </c>
      <c r="G2" s="5">
        <v>45000</v>
      </c>
      <c r="H2" s="6">
        <v>37197</v>
      </c>
      <c r="I2" s="7">
        <v>42253</v>
      </c>
    </row>
    <row r="3" spans="1:10" x14ac:dyDescent="0.25">
      <c r="A3" s="22">
        <v>1002</v>
      </c>
      <c r="B3" s="4" t="s">
        <v>4</v>
      </c>
      <c r="C3" s="4" t="s">
        <v>5</v>
      </c>
      <c r="D3" s="4">
        <v>30</v>
      </c>
      <c r="E3" s="4" t="s">
        <v>28</v>
      </c>
      <c r="F3" s="4" t="s">
        <v>27</v>
      </c>
      <c r="G3" s="5">
        <v>36000</v>
      </c>
      <c r="H3" s="6">
        <v>36436</v>
      </c>
      <c r="I3" s="7">
        <v>42287</v>
      </c>
    </row>
    <row r="4" spans="1:10" x14ac:dyDescent="0.25">
      <c r="A4" s="22">
        <v>1003</v>
      </c>
      <c r="B4" s="4" t="s">
        <v>6</v>
      </c>
      <c r="C4" s="4" t="s">
        <v>7</v>
      </c>
      <c r="D4" s="4">
        <v>29</v>
      </c>
      <c r="E4" s="4" t="s">
        <v>26</v>
      </c>
      <c r="F4" s="4" t="s">
        <v>25</v>
      </c>
      <c r="G4" s="5">
        <v>63000</v>
      </c>
      <c r="H4" s="6">
        <v>36711</v>
      </c>
      <c r="I4" s="7">
        <v>42986</v>
      </c>
    </row>
    <row r="5" spans="1:10" x14ac:dyDescent="0.25">
      <c r="A5" s="22">
        <v>1004</v>
      </c>
      <c r="B5" s="4" t="s">
        <v>13</v>
      </c>
      <c r="C5" s="4" t="s">
        <v>12</v>
      </c>
      <c r="D5" s="4">
        <v>31</v>
      </c>
      <c r="E5" s="4" t="s">
        <v>28</v>
      </c>
      <c r="F5" s="4" t="s">
        <v>29</v>
      </c>
      <c r="G5" s="5">
        <v>47000</v>
      </c>
      <c r="H5" s="6">
        <v>36530</v>
      </c>
      <c r="I5" s="7">
        <v>42341</v>
      </c>
      <c r="J5" s="16"/>
    </row>
    <row r="6" spans="1:10" x14ac:dyDescent="0.25">
      <c r="A6" s="22">
        <v>1005</v>
      </c>
      <c r="B6" s="4" t="s">
        <v>14</v>
      </c>
      <c r="C6" s="4" t="s">
        <v>15</v>
      </c>
      <c r="D6" s="4">
        <v>32</v>
      </c>
      <c r="E6" s="4" t="s">
        <v>26</v>
      </c>
      <c r="F6" s="4" t="s">
        <v>30</v>
      </c>
      <c r="G6" s="5">
        <v>50000</v>
      </c>
      <c r="H6" s="6">
        <v>37017</v>
      </c>
      <c r="I6" s="7">
        <v>42977</v>
      </c>
      <c r="J6" s="16"/>
    </row>
    <row r="7" spans="1:10" x14ac:dyDescent="0.25">
      <c r="A7" s="22">
        <v>1006</v>
      </c>
      <c r="B7" s="4" t="s">
        <v>8</v>
      </c>
      <c r="C7" s="4" t="s">
        <v>9</v>
      </c>
      <c r="D7" s="4">
        <v>35</v>
      </c>
      <c r="E7" s="4" t="s">
        <v>26</v>
      </c>
      <c r="F7" s="4" t="s">
        <v>31</v>
      </c>
      <c r="G7" s="5">
        <v>65000</v>
      </c>
      <c r="H7" s="6">
        <v>35040</v>
      </c>
      <c r="I7" s="7">
        <v>41528</v>
      </c>
      <c r="J7" s="16"/>
    </row>
    <row r="8" spans="1:10" x14ac:dyDescent="0.25">
      <c r="A8" s="22">
        <v>1007</v>
      </c>
      <c r="B8" s="4" t="s">
        <v>33</v>
      </c>
      <c r="C8" s="4" t="s">
        <v>34</v>
      </c>
      <c r="D8" s="4">
        <v>32</v>
      </c>
      <c r="E8" s="4" t="s">
        <v>28</v>
      </c>
      <c r="F8" s="4" t="s">
        <v>32</v>
      </c>
      <c r="G8" s="5">
        <v>41000</v>
      </c>
      <c r="H8" s="6">
        <v>37933</v>
      </c>
      <c r="I8" s="7">
        <v>41551</v>
      </c>
      <c r="J8" s="16"/>
    </row>
    <row r="9" spans="1:10" x14ac:dyDescent="0.25">
      <c r="A9" s="22">
        <v>1008</v>
      </c>
      <c r="B9" s="4" t="s">
        <v>16</v>
      </c>
      <c r="C9" s="4" t="s">
        <v>17</v>
      </c>
      <c r="D9" s="4">
        <v>38</v>
      </c>
      <c r="E9" s="4" t="s">
        <v>26</v>
      </c>
      <c r="F9" s="4" t="s">
        <v>25</v>
      </c>
      <c r="G9" s="5">
        <v>48000</v>
      </c>
      <c r="H9" s="6">
        <v>37416</v>
      </c>
      <c r="I9" s="7">
        <v>42116</v>
      </c>
      <c r="J9" s="16"/>
    </row>
    <row r="10" spans="1:10" x14ac:dyDescent="0.25">
      <c r="A10" s="23">
        <v>1009</v>
      </c>
      <c r="B10" s="9" t="s">
        <v>10</v>
      </c>
      <c r="C10" s="9" t="s">
        <v>11</v>
      </c>
      <c r="D10" s="9">
        <v>31</v>
      </c>
      <c r="E10" s="9" t="s">
        <v>26</v>
      </c>
      <c r="F10" s="9" t="s">
        <v>29</v>
      </c>
      <c r="G10" s="10">
        <v>42000</v>
      </c>
      <c r="H10" s="11">
        <v>37843</v>
      </c>
      <c r="I10" s="12">
        <v>40800</v>
      </c>
      <c r="J10" s="16"/>
    </row>
    <row r="13" spans="1:10" x14ac:dyDescent="0.25">
      <c r="A13" s="19" t="s">
        <v>86</v>
      </c>
      <c r="B13" s="21" t="s">
        <v>76</v>
      </c>
      <c r="C13" s="21" t="s">
        <v>77</v>
      </c>
    </row>
    <row r="14" spans="1:10" x14ac:dyDescent="0.25">
      <c r="A14" s="20" t="s">
        <v>82</v>
      </c>
      <c r="B14" s="17">
        <f>MAX(Table1[[#All],[StartDate]])</f>
        <v>37933</v>
      </c>
      <c r="C14" s="17">
        <f>MIN(Table1[[#All],[StartDate]])</f>
        <v>35040</v>
      </c>
    </row>
    <row r="15" spans="1:10" x14ac:dyDescent="0.25">
      <c r="A15" s="20" t="s">
        <v>83</v>
      </c>
      <c r="B15" s="17">
        <f>MIN(Table1[EndDate])</f>
        <v>40800</v>
      </c>
      <c r="C15" s="17">
        <f>MIN(Table1[EndDate])</f>
        <v>40800</v>
      </c>
    </row>
    <row r="16" spans="1:10" x14ac:dyDescent="0.25">
      <c r="A16" s="20" t="s">
        <v>84</v>
      </c>
      <c r="B16" s="18">
        <f>MAX(Table1[Salary])</f>
        <v>65000</v>
      </c>
      <c r="C16" s="18">
        <f>MIN(Table1[Salary])</f>
        <v>36000</v>
      </c>
    </row>
  </sheetData>
  <pageMargins left="0.7" right="0.7" top="0.75" bottom="0.75" header="0.3" footer="0.3"/>
  <pageSetup paperSize="9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3BB1-397D-4AFC-8E96-ABE0D0515A1B}">
  <sheetPr codeName="Sheet2">
    <tabColor theme="1" tint="4.9989318521683403E-2"/>
  </sheetPr>
  <dimension ref="A1:L21"/>
  <sheetViews>
    <sheetView topLeftCell="A14" workbookViewId="0">
      <selection activeCell="C14" sqref="C14"/>
    </sheetView>
  </sheetViews>
  <sheetFormatPr defaultColWidth="13.7109375" defaultRowHeight="15" x14ac:dyDescent="0.25"/>
  <cols>
    <col min="1" max="1" width="13.85546875" customWidth="1"/>
    <col min="3" max="3" width="14.5703125" customWidth="1"/>
    <col min="4" max="4" width="7.7109375" customWidth="1"/>
    <col min="6" max="6" width="17.5703125" customWidth="1"/>
    <col min="10" max="10" width="21.28515625" customWidth="1"/>
    <col min="11" max="11" width="18.85546875" customWidth="1"/>
  </cols>
  <sheetData>
    <row r="1" spans="1:12" x14ac:dyDescent="0.25">
      <c r="A1" s="24" t="s">
        <v>20</v>
      </c>
      <c r="B1" s="25" t="s">
        <v>0</v>
      </c>
      <c r="C1" s="25" t="s">
        <v>1</v>
      </c>
      <c r="D1" s="25" t="s">
        <v>23</v>
      </c>
      <c r="E1" s="25" t="s">
        <v>24</v>
      </c>
      <c r="F1" s="25" t="s">
        <v>21</v>
      </c>
      <c r="G1" s="30" t="s">
        <v>22</v>
      </c>
      <c r="H1" s="25" t="s">
        <v>36</v>
      </c>
      <c r="I1" s="26" t="s">
        <v>37</v>
      </c>
      <c r="J1" s="29" t="s">
        <v>89</v>
      </c>
      <c r="K1" s="29" t="s">
        <v>90</v>
      </c>
    </row>
    <row r="2" spans="1:12" x14ac:dyDescent="0.25">
      <c r="A2" s="3">
        <v>1001</v>
      </c>
      <c r="B2" s="4" t="s">
        <v>2</v>
      </c>
      <c r="C2" s="4" t="s">
        <v>3</v>
      </c>
      <c r="D2" s="4">
        <v>30</v>
      </c>
      <c r="E2" s="4" t="s">
        <v>26</v>
      </c>
      <c r="F2" s="4" t="s">
        <v>25</v>
      </c>
      <c r="G2" s="31">
        <v>45000</v>
      </c>
      <c r="H2" s="6">
        <v>37197</v>
      </c>
      <c r="I2" s="7">
        <v>42253</v>
      </c>
      <c r="J2" s="28" t="str">
        <f>IF(Table5[[#This Row],[Gender]] = "Male", "6.5 hours","4.5 hours")</f>
        <v>6.5 hours</v>
      </c>
      <c r="K2" t="str" cm="1">
        <f t="array" ref="K2">_xlfn.IFS(Table5[[#This Row],[JobTitle]]="Salesman","Sales",Table5[[#This Row],[JobTitle]]="Receptionist","Administration",Table5[[#This Row],[JobTitle]]="Regional Manager","Sales",Table5[[#This Row],[JobTitle]]="Supplier Relations","Sales",Table5[[#This Row],[JobTitle]]="HR","Administration", Table5[[#This Row],[JobTitle]]="Accountant","Finance", TRUE,"Other")</f>
        <v>Sales</v>
      </c>
    </row>
    <row r="3" spans="1:12" x14ac:dyDescent="0.25">
      <c r="A3" s="3">
        <v>1002</v>
      </c>
      <c r="B3" s="4" t="s">
        <v>4</v>
      </c>
      <c r="C3" s="4" t="s">
        <v>5</v>
      </c>
      <c r="D3" s="4">
        <v>30</v>
      </c>
      <c r="E3" s="4" t="s">
        <v>28</v>
      </c>
      <c r="F3" s="4" t="s">
        <v>27</v>
      </c>
      <c r="G3" s="31">
        <v>36000</v>
      </c>
      <c r="H3" s="6">
        <v>36436</v>
      </c>
      <c r="I3" s="7">
        <v>42287</v>
      </c>
      <c r="J3" s="28" t="str">
        <f>IF(Table5[[#This Row],[Gender]] = "Male", "6.5 hours","4.5 hours")</f>
        <v>4.5 hours</v>
      </c>
      <c r="K3" s="27"/>
    </row>
    <row r="4" spans="1:12" x14ac:dyDescent="0.25">
      <c r="A4" s="3">
        <v>1003</v>
      </c>
      <c r="B4" s="4" t="s">
        <v>6</v>
      </c>
      <c r="C4" s="4" t="s">
        <v>7</v>
      </c>
      <c r="D4" s="4">
        <v>29</v>
      </c>
      <c r="E4" s="4" t="s">
        <v>26</v>
      </c>
      <c r="F4" s="4" t="s">
        <v>25</v>
      </c>
      <c r="G4" s="31">
        <v>63000</v>
      </c>
      <c r="H4" s="6">
        <v>36711</v>
      </c>
      <c r="I4" s="7">
        <v>42986</v>
      </c>
      <c r="J4" s="28" t="str">
        <f>IF(Table5[[#This Row],[Gender]] = "Male", "6.5 hours","4.5 hours")</f>
        <v>6.5 hours</v>
      </c>
      <c r="K4" t="str" cm="1">
        <f t="array" ref="K4">_xlfn.IFS(Table5[[#This Row],[JobTitle]]="Salesman","Sales",Table5[[#This Row],[JobTitle]]="Receptionist","Administration",Table5[[#This Row],[JobTitle]]="Regional Manager","Sales",Table5[[#This Row],[JobTitle]]="Supplier Relations","Sales",Table5[[#This Row],[JobTitle]]="HR","Administration", Table5[[#This Row],[JobTitle]]="Accountant","Finance", TRUE,"Other")</f>
        <v>Sales</v>
      </c>
    </row>
    <row r="5" spans="1:12" x14ac:dyDescent="0.25">
      <c r="A5" s="3">
        <v>1004</v>
      </c>
      <c r="B5" s="4" t="s">
        <v>13</v>
      </c>
      <c r="C5" s="4" t="s">
        <v>12</v>
      </c>
      <c r="D5" s="4">
        <v>31</v>
      </c>
      <c r="E5" s="4" t="s">
        <v>28</v>
      </c>
      <c r="F5" s="4" t="s">
        <v>29</v>
      </c>
      <c r="G5" s="31">
        <v>47000</v>
      </c>
      <c r="H5" s="6">
        <v>36530</v>
      </c>
      <c r="I5" s="7">
        <v>42341</v>
      </c>
      <c r="J5" s="28" t="str">
        <f>IF(Table5[[#This Row],[Gender]] = "Male", "6.5 hours","4.5 hours")</f>
        <v>4.5 hours</v>
      </c>
      <c r="K5" t="str" cm="1">
        <f t="array" ref="K5">_xlfn.IFS(Table5[[#This Row],[JobTitle]]="Salesman","Sales",Table5[[#This Row],[JobTitle]]="Receptionist","Administration",Table5[[#This Row],[JobTitle]]="Regional Manager","Sales",Table5[[#This Row],[JobTitle]]="Supplier Relations","Sales",Table5[[#This Row],[JobTitle]]="HR","Administration", Table5[[#This Row],[JobTitle]]="Accountant","Finance", TRUE,"Other")</f>
        <v>Finance</v>
      </c>
    </row>
    <row r="6" spans="1:12" x14ac:dyDescent="0.25">
      <c r="A6" s="3">
        <v>1005</v>
      </c>
      <c r="B6" s="4" t="s">
        <v>14</v>
      </c>
      <c r="C6" s="4" t="s">
        <v>15</v>
      </c>
      <c r="D6" s="4">
        <v>32</v>
      </c>
      <c r="E6" s="4" t="s">
        <v>26</v>
      </c>
      <c r="F6" s="4" t="s">
        <v>30</v>
      </c>
      <c r="G6" s="31">
        <v>50000</v>
      </c>
      <c r="H6" s="6">
        <v>37017</v>
      </c>
      <c r="I6" s="7">
        <v>42977</v>
      </c>
      <c r="J6" s="28" t="str">
        <f>IF(Table5[[#This Row],[Gender]] = "Male", "6.5 hours","4.5 hours")</f>
        <v>6.5 hours</v>
      </c>
      <c r="K6" t="str" cm="1">
        <f t="array" ref="K6">_xlfn.IFS(Table5[[#This Row],[JobTitle]]="Salesman","Sales",Table5[[#This Row],[JobTitle]]="Receptionist","Administration",Table5[[#This Row],[JobTitle]]="Regional Manager","Sales",Table5[[#This Row],[JobTitle]]="Supplier Relations","Sales",Table5[[#This Row],[JobTitle]]="HR","Administration", Table5[[#This Row],[JobTitle]]="Accountant","Finance", TRUE,"Other")</f>
        <v>Administration</v>
      </c>
    </row>
    <row r="7" spans="1:12" x14ac:dyDescent="0.25">
      <c r="A7" s="3">
        <v>1006</v>
      </c>
      <c r="B7" s="4" t="s">
        <v>8</v>
      </c>
      <c r="C7" s="4" t="s">
        <v>9</v>
      </c>
      <c r="D7" s="4">
        <v>35</v>
      </c>
      <c r="E7" s="4" t="s">
        <v>26</v>
      </c>
      <c r="F7" s="4" t="s">
        <v>31</v>
      </c>
      <c r="G7" s="31">
        <v>65000</v>
      </c>
      <c r="H7" s="6">
        <v>35040</v>
      </c>
      <c r="I7" s="7">
        <v>41528</v>
      </c>
      <c r="J7" s="28" t="str">
        <f>IF(Table5[[#This Row],[Gender]] = "Male", "6.5 hours","4.5 hours")</f>
        <v>6.5 hours</v>
      </c>
      <c r="K7" t="str" cm="1">
        <f t="array" ref="K7">_xlfn.IFS(Table5[[#This Row],[JobTitle]]="Salesman","Sales",Table5[[#This Row],[JobTitle]]="Receptionist","Administration",Table5[[#This Row],[JobTitle]]="Regional Manager","Sales",Table5[[#This Row],[JobTitle]]="Supplier Relations","Sales",Table5[[#This Row],[JobTitle]]="HR","Administration", Table5[[#This Row],[JobTitle]]="Accountant","Finance", TRUE,"Other")</f>
        <v>Sales</v>
      </c>
    </row>
    <row r="8" spans="1:12" x14ac:dyDescent="0.25">
      <c r="A8" s="3">
        <v>1007</v>
      </c>
      <c r="B8" s="4" t="s">
        <v>33</v>
      </c>
      <c r="C8" s="4" t="s">
        <v>34</v>
      </c>
      <c r="D8" s="4">
        <v>32</v>
      </c>
      <c r="E8" s="4" t="s">
        <v>28</v>
      </c>
      <c r="F8" s="4" t="s">
        <v>32</v>
      </c>
      <c r="G8" s="31">
        <v>41000</v>
      </c>
      <c r="H8" s="6">
        <v>37933</v>
      </c>
      <c r="I8" s="7">
        <v>41551</v>
      </c>
      <c r="J8" s="28" t="str">
        <f>IF(Table5[[#This Row],[Gender]] = "Male", "6.5 hours","4.5 hours")</f>
        <v>4.5 hours</v>
      </c>
      <c r="K8" t="str" cm="1">
        <f t="array" ref="K8">_xlfn.IFS(Table5[[#This Row],[JobTitle]]="Salesman","Sales",Table5[[#This Row],[JobTitle]]="Receptionist","Administration",Table5[[#This Row],[JobTitle]]="Regional Manager","Sales",Table5[[#This Row],[JobTitle]]="Supplier Relations","Sales",Table5[[#This Row],[JobTitle]]="HR","Administration", Table5[[#This Row],[JobTitle]]="Accountant","Finance", TRUE,"Other")</f>
        <v>Sales</v>
      </c>
    </row>
    <row r="9" spans="1:12" x14ac:dyDescent="0.25">
      <c r="A9" s="3">
        <v>1008</v>
      </c>
      <c r="B9" s="4" t="s">
        <v>16</v>
      </c>
      <c r="C9" s="4" t="s">
        <v>17</v>
      </c>
      <c r="D9" s="4">
        <v>38</v>
      </c>
      <c r="E9" s="4" t="s">
        <v>26</v>
      </c>
      <c r="F9" s="4" t="s">
        <v>25</v>
      </c>
      <c r="G9" s="31">
        <v>48000</v>
      </c>
      <c r="H9" s="6">
        <v>37416</v>
      </c>
      <c r="I9" s="7">
        <v>42116</v>
      </c>
      <c r="J9" s="28" t="str">
        <f>IF(Table5[[#This Row],[Gender]] = "Male", "6.5 hours","4.5 hours")</f>
        <v>6.5 hours</v>
      </c>
      <c r="K9" t="str" cm="1">
        <f t="array" ref="K9">_xlfn.IFS(Table5[[#This Row],[JobTitle]]="Salesman","Sales",Table5[[#This Row],[JobTitle]]="Receptionist","Administration",Table5[[#This Row],[JobTitle]]="Regional Manager","Sales",Table5[[#This Row],[JobTitle]]="Supplier Relations","Sales",Table5[[#This Row],[JobTitle]]="HR","Administration", Table5[[#This Row],[JobTitle]]="Accountant","Finance", TRUE,"Other")</f>
        <v>Sales</v>
      </c>
    </row>
    <row r="10" spans="1:12" x14ac:dyDescent="0.25">
      <c r="A10" s="8">
        <v>1009</v>
      </c>
      <c r="B10" s="9" t="s">
        <v>10</v>
      </c>
      <c r="C10" s="9" t="s">
        <v>11</v>
      </c>
      <c r="D10" s="9">
        <v>31</v>
      </c>
      <c r="E10" s="9" t="s">
        <v>26</v>
      </c>
      <c r="F10" s="9" t="s">
        <v>29</v>
      </c>
      <c r="G10" s="32">
        <v>42000</v>
      </c>
      <c r="H10" s="11">
        <v>37843</v>
      </c>
      <c r="I10" s="12">
        <v>40800</v>
      </c>
      <c r="J10" s="28" t="str">
        <f>IF(Table5[[#This Row],[Gender]] = "Male", "6.5 hours","4.5 hours")</f>
        <v>6.5 hours</v>
      </c>
      <c r="K10" t="str" cm="1">
        <f t="array" ref="K10">_xlfn.IFS(Table5[[#This Row],[JobTitle]]="Salesman","Sales",Table5[[#This Row],[JobTitle]]="Receptionist","Administration",Table5[[#This Row],[JobTitle]]="Regional Manager","Sales",Table5[[#This Row],[JobTitle]]="Supplier Relations","Sales",Table5[[#This Row],[JobTitle]]="HR","Administration", Table5[[#This Row],[JobTitle]]="Accountant","Finance", TRUE,"Other")</f>
        <v>Finance</v>
      </c>
    </row>
    <row r="12" spans="1:12" x14ac:dyDescent="0.25">
      <c r="J12" t="s">
        <v>87</v>
      </c>
      <c r="K12" t="s">
        <v>88</v>
      </c>
    </row>
    <row r="14" spans="1:12" x14ac:dyDescent="0.25">
      <c r="C14" s="73" t="s">
        <v>116</v>
      </c>
      <c r="D14" s="74"/>
      <c r="E14" s="75"/>
      <c r="F14" s="75"/>
      <c r="G14" s="75"/>
      <c r="H14" s="75"/>
      <c r="I14" s="75"/>
      <c r="J14" s="76"/>
      <c r="L14" t="s">
        <v>124</v>
      </c>
    </row>
    <row r="15" spans="1:12" x14ac:dyDescent="0.25">
      <c r="E15" s="77" t="s">
        <v>117</v>
      </c>
      <c r="F15" s="78"/>
      <c r="G15" s="78"/>
      <c r="H15" s="79"/>
    </row>
    <row r="18" spans="3:12" x14ac:dyDescent="0.25">
      <c r="C18" s="89" t="s">
        <v>123</v>
      </c>
      <c r="D18" s="90"/>
      <c r="E18" s="90"/>
      <c r="F18" s="90"/>
      <c r="G18" s="90"/>
      <c r="H18" s="90"/>
      <c r="I18" s="90"/>
      <c r="J18" s="90"/>
      <c r="K18" s="90"/>
      <c r="L18" s="91"/>
    </row>
    <row r="19" spans="3:12" x14ac:dyDescent="0.25">
      <c r="E19" s="80" t="s">
        <v>118</v>
      </c>
      <c r="F19" s="81"/>
      <c r="G19" s="81"/>
      <c r="H19" s="81"/>
      <c r="I19" s="81"/>
      <c r="J19" s="81"/>
      <c r="K19" s="81"/>
      <c r="L19" s="82"/>
    </row>
    <row r="20" spans="3:12" x14ac:dyDescent="0.25">
      <c r="E20" s="83"/>
      <c r="F20" s="84" t="s">
        <v>119</v>
      </c>
      <c r="G20" s="84"/>
      <c r="H20" s="84"/>
      <c r="I20" s="84"/>
      <c r="J20" s="84"/>
      <c r="K20" s="84"/>
      <c r="L20" s="85"/>
    </row>
    <row r="21" spans="3:12" x14ac:dyDescent="0.25">
      <c r="E21" s="86"/>
      <c r="F21" s="87" t="s">
        <v>120</v>
      </c>
      <c r="G21" s="87"/>
      <c r="H21" s="87"/>
      <c r="I21" s="87"/>
      <c r="J21" s="87"/>
      <c r="K21" s="87"/>
      <c r="L21" s="88"/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4A2A-B2F2-4EC9-9616-29355E7995DC}">
  <sheetPr codeName="Sheet3">
    <tabColor theme="4"/>
  </sheetPr>
  <dimension ref="A1:L10"/>
  <sheetViews>
    <sheetView workbookViewId="0">
      <selection activeCell="J11" sqref="J11"/>
    </sheetView>
  </sheetViews>
  <sheetFormatPr defaultColWidth="10.85546875" defaultRowHeight="15" x14ac:dyDescent="0.25"/>
  <cols>
    <col min="1" max="1" width="13.85546875" customWidth="1"/>
    <col min="2" max="2" width="12.28515625" customWidth="1"/>
    <col min="3" max="3" width="11.85546875" customWidth="1"/>
    <col min="8" max="8" width="11.42578125" customWidth="1"/>
    <col min="11" max="11" width="15" customWidth="1"/>
  </cols>
  <sheetData>
    <row r="1" spans="1:12" x14ac:dyDescent="0.25">
      <c r="A1" s="94" t="s">
        <v>20</v>
      </c>
      <c r="B1" s="95" t="s">
        <v>0</v>
      </c>
      <c r="C1" s="95" t="s">
        <v>1</v>
      </c>
      <c r="D1" s="95" t="s">
        <v>23</v>
      </c>
      <c r="E1" s="95" t="s">
        <v>24</v>
      </c>
      <c r="F1" s="95" t="s">
        <v>21</v>
      </c>
      <c r="G1" s="95" t="s">
        <v>22</v>
      </c>
      <c r="H1" s="95" t="s">
        <v>36</v>
      </c>
      <c r="I1" s="95" t="s">
        <v>37</v>
      </c>
      <c r="J1" s="97" t="s">
        <v>19</v>
      </c>
      <c r="K1" s="96" t="s">
        <v>91</v>
      </c>
      <c r="L1" t="s">
        <v>35</v>
      </c>
    </row>
    <row r="2" spans="1:12" x14ac:dyDescent="0.25">
      <c r="A2" s="3">
        <v>1001</v>
      </c>
      <c r="B2" s="4" t="s">
        <v>2</v>
      </c>
      <c r="C2" s="4" t="s">
        <v>3</v>
      </c>
      <c r="D2" s="4">
        <v>30</v>
      </c>
      <c r="E2" s="4" t="s">
        <v>26</v>
      </c>
      <c r="F2" s="4" t="s">
        <v>25</v>
      </c>
      <c r="G2" s="4">
        <v>45000</v>
      </c>
      <c r="H2" s="6">
        <v>37197</v>
      </c>
      <c r="I2" s="6">
        <v>42253</v>
      </c>
      <c r="J2" s="4">
        <f>LEN(Table2[[#This Row],[FirstName]])</f>
        <v>3</v>
      </c>
      <c r="K2" s="92" t="str" cm="1">
        <f t="array" ref="K2">_xlfn.IFS(Table5[[#This Row],[JobTitle]]="Salesman","Sales",Table5[[#This Row],[JobTitle]]="Receptionist","Administration",Table5[[#This Row],[JobTitle]]="Regional Manager","Sales",Table5[[#This Row],[JobTitle]]="Supplier Relations","Sales",Table5[[#This Row],[JobTitle]]="HR","Administration", Table5[[#This Row],[JobTitle]]="Accountant","Finance", TRUE,"Other")</f>
        <v>Sales</v>
      </c>
    </row>
    <row r="3" spans="1:12" x14ac:dyDescent="0.25">
      <c r="A3" s="3">
        <v>1002</v>
      </c>
      <c r="B3" s="4" t="s">
        <v>4</v>
      </c>
      <c r="C3" s="4" t="s">
        <v>5</v>
      </c>
      <c r="D3" s="4">
        <v>30</v>
      </c>
      <c r="E3" s="4" t="s">
        <v>28</v>
      </c>
      <c r="F3" s="4" t="s">
        <v>27</v>
      </c>
      <c r="G3" s="4">
        <v>36000</v>
      </c>
      <c r="H3" s="6">
        <v>36436</v>
      </c>
      <c r="I3" s="6">
        <v>42287</v>
      </c>
      <c r="J3" s="4">
        <f>LEN(Table2[[#This Row],[FirstName]])</f>
        <v>3</v>
      </c>
      <c r="K3" s="92" t="str" cm="1">
        <f t="array" ref="K3">_xlfn.IFS(Table5[[#This Row],[JobTitle]]="Salesman","Sales",Table5[[#This Row],[JobTitle]]="Receptionist","Administration",Table5[[#This Row],[JobTitle]]="Regional Manager","Sales",Table5[[#This Row],[JobTitle]]="Supplier Relations","Sales",Table5[[#This Row],[JobTitle]]="HR","Administration", Table5[[#This Row],[JobTitle]]="Accountant","Finance", TRUE,"Other")</f>
        <v>Administration</v>
      </c>
    </row>
    <row r="4" spans="1:12" x14ac:dyDescent="0.25">
      <c r="A4" s="3">
        <v>1003</v>
      </c>
      <c r="B4" s="4" t="s">
        <v>6</v>
      </c>
      <c r="C4" s="4" t="s">
        <v>7</v>
      </c>
      <c r="D4" s="4">
        <v>29</v>
      </c>
      <c r="E4" s="4" t="s">
        <v>26</v>
      </c>
      <c r="F4" s="4" t="s">
        <v>25</v>
      </c>
      <c r="G4" s="4">
        <v>63000</v>
      </c>
      <c r="H4" s="6">
        <v>36711</v>
      </c>
      <c r="I4" s="6">
        <v>42986</v>
      </c>
      <c r="J4" s="4">
        <f>LEN(Table2[[#This Row],[FirstName]])</f>
        <v>6</v>
      </c>
      <c r="K4" s="92" t="str" cm="1">
        <f t="array" ref="K4">_xlfn.IFS(Table5[[#This Row],[JobTitle]]="Salesman","Sales",Table5[[#This Row],[JobTitle]]="Receptionist","Administration",Table5[[#This Row],[JobTitle]]="Regional Manager","Sales",Table5[[#This Row],[JobTitle]]="Supplier Relations","Sales",Table5[[#This Row],[JobTitle]]="HR","Administration", Table5[[#This Row],[JobTitle]]="Accountant","Finance", TRUE,"Other")</f>
        <v>Sales</v>
      </c>
    </row>
    <row r="5" spans="1:12" x14ac:dyDescent="0.25">
      <c r="A5" s="3">
        <v>1004</v>
      </c>
      <c r="B5" s="4" t="s">
        <v>13</v>
      </c>
      <c r="C5" s="4" t="s">
        <v>12</v>
      </c>
      <c r="D5" s="4">
        <v>31</v>
      </c>
      <c r="E5" s="4" t="s">
        <v>28</v>
      </c>
      <c r="F5" s="4" t="s">
        <v>29</v>
      </c>
      <c r="G5" s="4">
        <v>47000</v>
      </c>
      <c r="H5" s="6">
        <v>36530</v>
      </c>
      <c r="I5" s="6">
        <v>42341</v>
      </c>
      <c r="J5" s="4">
        <f>LEN(Table2[[#This Row],[FirstName]])</f>
        <v>6</v>
      </c>
      <c r="K5" s="92" t="str" cm="1">
        <f t="array" ref="K5">_xlfn.IFS(Table5[[#This Row],[JobTitle]]="Salesman","Sales",Table5[[#This Row],[JobTitle]]="Receptionist","Administration",Table5[[#This Row],[JobTitle]]="Regional Manager","Sales",Table5[[#This Row],[JobTitle]]="Supplier Relations","Sales",Table5[[#This Row],[JobTitle]]="HR","Administration", Table5[[#This Row],[JobTitle]]="Accountant","Finance", TRUE,"Other")</f>
        <v>Finance</v>
      </c>
    </row>
    <row r="6" spans="1:12" x14ac:dyDescent="0.25">
      <c r="A6" s="3">
        <v>1005</v>
      </c>
      <c r="B6" s="4" t="s">
        <v>14</v>
      </c>
      <c r="C6" s="4" t="s">
        <v>15</v>
      </c>
      <c r="D6" s="4">
        <v>32</v>
      </c>
      <c r="E6" s="4" t="s">
        <v>26</v>
      </c>
      <c r="F6" s="4" t="s">
        <v>30</v>
      </c>
      <c r="G6" s="4">
        <v>50000</v>
      </c>
      <c r="H6" s="6">
        <v>37017</v>
      </c>
      <c r="I6" s="6">
        <v>42977</v>
      </c>
      <c r="J6" s="4">
        <f>LEN(Table2[[#This Row],[FirstName]])</f>
        <v>4</v>
      </c>
      <c r="K6" s="92" t="str" cm="1">
        <f t="array" ref="K6">_xlfn.IFS(Table5[[#This Row],[JobTitle]]="Salesman","Sales",Table5[[#This Row],[JobTitle]]="Receptionist","Administration",Table5[[#This Row],[JobTitle]]="Regional Manager","Sales",Table5[[#This Row],[JobTitle]]="Supplier Relations","Sales",Table5[[#This Row],[JobTitle]]="HR","Administration", Table5[[#This Row],[JobTitle]]="Accountant","Finance", TRUE,"Other")</f>
        <v>Administration</v>
      </c>
    </row>
    <row r="7" spans="1:12" x14ac:dyDescent="0.25">
      <c r="A7" s="3">
        <v>1006</v>
      </c>
      <c r="B7" s="4" t="s">
        <v>8</v>
      </c>
      <c r="C7" s="4" t="s">
        <v>9</v>
      </c>
      <c r="D7" s="4">
        <v>35</v>
      </c>
      <c r="E7" s="4" t="s">
        <v>26</v>
      </c>
      <c r="F7" s="4" t="s">
        <v>31</v>
      </c>
      <c r="G7" s="4">
        <v>65000</v>
      </c>
      <c r="H7" s="6">
        <v>35040</v>
      </c>
      <c r="I7" s="6">
        <v>41528</v>
      </c>
      <c r="J7" s="4">
        <f>LEN(Table2[[#This Row],[FirstName]])</f>
        <v>7</v>
      </c>
      <c r="K7" s="92" t="str" cm="1">
        <f t="array" ref="K7">_xlfn.IFS(Table5[[#This Row],[JobTitle]]="Salesman","Sales",Table5[[#This Row],[JobTitle]]="Receptionist","Administration",Table5[[#This Row],[JobTitle]]="Regional Manager","Sales",Table5[[#This Row],[JobTitle]]="Supplier Relations","Sales",Table5[[#This Row],[JobTitle]]="HR","Administration", Table5[[#This Row],[JobTitle]]="Accountant","Finance", TRUE,"Other")</f>
        <v>Sales</v>
      </c>
    </row>
    <row r="8" spans="1:12" x14ac:dyDescent="0.25">
      <c r="A8" s="3">
        <v>1007</v>
      </c>
      <c r="B8" s="4" t="s">
        <v>33</v>
      </c>
      <c r="C8" s="4" t="s">
        <v>34</v>
      </c>
      <c r="D8" s="4">
        <v>32</v>
      </c>
      <c r="E8" s="4" t="s">
        <v>28</v>
      </c>
      <c r="F8" s="4" t="s">
        <v>32</v>
      </c>
      <c r="G8" s="4">
        <v>41000</v>
      </c>
      <c r="H8" s="6">
        <v>37933</v>
      </c>
      <c r="I8" s="6">
        <v>41551</v>
      </c>
      <c r="J8" s="4">
        <f>LEN(Table2[[#This Row],[FirstName]])</f>
        <v>8</v>
      </c>
      <c r="K8" s="92" t="str" cm="1">
        <f t="array" ref="K8">_xlfn.IFS(Table5[[#This Row],[JobTitle]]="Salesman","Sales",Table5[[#This Row],[JobTitle]]="Receptionist","Administration",Table5[[#This Row],[JobTitle]]="Regional Manager","Sales",Table5[[#This Row],[JobTitle]]="Supplier Relations","Sales",Table5[[#This Row],[JobTitle]]="HR","Administration", Table5[[#This Row],[JobTitle]]="Accountant","Finance", TRUE,"Other")</f>
        <v>Sales</v>
      </c>
    </row>
    <row r="9" spans="1:12" x14ac:dyDescent="0.25">
      <c r="A9" s="3">
        <v>1008</v>
      </c>
      <c r="B9" s="4" t="s">
        <v>16</v>
      </c>
      <c r="C9" s="4" t="s">
        <v>17</v>
      </c>
      <c r="D9" s="4">
        <v>38</v>
      </c>
      <c r="E9" s="4" t="s">
        <v>26</v>
      </c>
      <c r="F9" s="4" t="s">
        <v>25</v>
      </c>
      <c r="G9" s="4">
        <v>48000</v>
      </c>
      <c r="H9" s="6">
        <v>37416</v>
      </c>
      <c r="I9" s="6">
        <v>42116</v>
      </c>
      <c r="J9" s="4">
        <f>LEN(Table2[[#This Row],[FirstName]])</f>
        <v>7</v>
      </c>
      <c r="K9" s="92" t="str" cm="1">
        <f t="array" ref="K9">_xlfn.IFS(Table5[[#This Row],[JobTitle]]="Salesman","Sales",Table5[[#This Row],[JobTitle]]="Receptionist","Administration",Table5[[#This Row],[JobTitle]]="Regional Manager","Sales",Table5[[#This Row],[JobTitle]]="Supplier Relations","Sales",Table5[[#This Row],[JobTitle]]="HR","Administration", Table5[[#This Row],[JobTitle]]="Accountant","Finance", TRUE,"Other")</f>
        <v>Sales</v>
      </c>
    </row>
    <row r="10" spans="1:12" x14ac:dyDescent="0.25">
      <c r="A10" s="8">
        <v>1009</v>
      </c>
      <c r="B10" s="9" t="s">
        <v>10</v>
      </c>
      <c r="C10" s="9" t="s">
        <v>11</v>
      </c>
      <c r="D10" s="9">
        <v>31</v>
      </c>
      <c r="E10" s="9" t="s">
        <v>26</v>
      </c>
      <c r="F10" s="9" t="s">
        <v>29</v>
      </c>
      <c r="G10" s="9">
        <v>42000</v>
      </c>
      <c r="H10" s="11">
        <v>37843</v>
      </c>
      <c r="I10" s="11">
        <v>40800</v>
      </c>
      <c r="J10" s="9">
        <f>LEN(Table2[[#This Row],[FirstName]])</f>
        <v>5</v>
      </c>
      <c r="K10" s="93" t="str" cm="1">
        <f t="array" ref="K10">_xlfn.IFS(Table5[[#This Row],[JobTitle]]="Salesman","Sales",Table5[[#This Row],[JobTitle]]="Receptionist","Administration",Table5[[#This Row],[JobTitle]]="Regional Manager","Sales",Table5[[#This Row],[JobTitle]]="Supplier Relations","Sales",Table5[[#This Row],[JobTitle]]="HR","Administration", Table5[[#This Row],[JobTitle]]="Accountant","Finance", TRUE,"Other")</f>
        <v>Finance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954FE-DA24-43B2-AD9D-17E8CC017065}">
  <sheetPr codeName="Sheet4">
    <tabColor rgb="FF00B0F0"/>
  </sheetPr>
  <dimension ref="A1:L16"/>
  <sheetViews>
    <sheetView tabSelected="1" workbookViewId="0">
      <selection activeCell="J17" sqref="J17"/>
    </sheetView>
  </sheetViews>
  <sheetFormatPr defaultColWidth="14.5703125" defaultRowHeight="15" x14ac:dyDescent="0.25"/>
  <cols>
    <col min="1" max="1" width="13.85546875" customWidth="1"/>
    <col min="2" max="2" width="12.28515625" customWidth="1"/>
    <col min="3" max="3" width="11.85546875" customWidth="1"/>
    <col min="4" max="4" width="6.5703125" customWidth="1"/>
    <col min="5" max="5" width="9.7109375" customWidth="1"/>
    <col min="6" max="6" width="17.28515625" customWidth="1"/>
    <col min="8" max="8" width="11.42578125" customWidth="1"/>
    <col min="9" max="9" width="11" customWidth="1"/>
    <col min="10" max="10" width="43.5703125" customWidth="1"/>
  </cols>
  <sheetData>
    <row r="1" spans="1:12" x14ac:dyDescent="0.25">
      <c r="A1" s="4" t="s">
        <v>20</v>
      </c>
      <c r="B1" s="4" t="s">
        <v>0</v>
      </c>
      <c r="C1" s="4" t="s">
        <v>1</v>
      </c>
      <c r="D1" s="4" t="s">
        <v>23</v>
      </c>
      <c r="E1" s="4" t="s">
        <v>24</v>
      </c>
      <c r="F1" s="4" t="s">
        <v>21</v>
      </c>
      <c r="G1" s="5" t="s">
        <v>22</v>
      </c>
      <c r="H1" s="4" t="s">
        <v>36</v>
      </c>
      <c r="I1" s="4" t="s">
        <v>37</v>
      </c>
      <c r="J1" s="4" t="s">
        <v>38</v>
      </c>
      <c r="K1" s="21" t="s">
        <v>80</v>
      </c>
      <c r="L1" s="37" t="s">
        <v>81</v>
      </c>
    </row>
    <row r="2" spans="1:12" x14ac:dyDescent="0.25">
      <c r="A2" s="4">
        <v>1001</v>
      </c>
      <c r="B2" s="4" t="s">
        <v>2</v>
      </c>
      <c r="C2" s="4" t="s">
        <v>3</v>
      </c>
      <c r="D2" s="4">
        <v>30</v>
      </c>
      <c r="E2" s="4" t="s">
        <v>26</v>
      </c>
      <c r="F2" s="4" t="s">
        <v>25</v>
      </c>
      <c r="G2" s="5">
        <v>45000</v>
      </c>
      <c r="H2" s="36" t="s">
        <v>48</v>
      </c>
      <c r="I2" s="36" t="s">
        <v>56</v>
      </c>
      <c r="J2" s="6" t="s">
        <v>39</v>
      </c>
      <c r="K2" s="4" t="str">
        <f>LEFT(Table3[[#This Row],[FirstName]],4)</f>
        <v>Jim</v>
      </c>
      <c r="L2" s="4" t="str">
        <f>RIGHT(Table6[[#This Row],[EmployeeID]],3)</f>
        <v>001</v>
      </c>
    </row>
    <row r="3" spans="1:12" x14ac:dyDescent="0.25">
      <c r="A3" s="4">
        <v>1002</v>
      </c>
      <c r="B3" s="4" t="s">
        <v>4</v>
      </c>
      <c r="C3" s="4" t="s">
        <v>5</v>
      </c>
      <c r="D3" s="4">
        <v>30</v>
      </c>
      <c r="E3" s="4" t="s">
        <v>28</v>
      </c>
      <c r="F3" s="4" t="s">
        <v>27</v>
      </c>
      <c r="G3" s="5">
        <v>36000</v>
      </c>
      <c r="H3" s="36" t="s">
        <v>49</v>
      </c>
      <c r="I3" s="36" t="s">
        <v>57</v>
      </c>
      <c r="J3" s="6" t="s">
        <v>40</v>
      </c>
      <c r="K3" s="4" t="str">
        <f>LEFT(Table3[[#This Row],[FirstName]],4)</f>
        <v>Pam</v>
      </c>
      <c r="L3" s="4" t="str">
        <f>RIGHT(Table6[[#This Row],[EmployeeID]],3)</f>
        <v>002</v>
      </c>
    </row>
    <row r="4" spans="1:12" x14ac:dyDescent="0.25">
      <c r="A4" s="4">
        <v>1003</v>
      </c>
      <c r="B4" s="4" t="s">
        <v>6</v>
      </c>
      <c r="C4" s="4" t="s">
        <v>7</v>
      </c>
      <c r="D4" s="4">
        <v>29</v>
      </c>
      <c r="E4" s="4" t="s">
        <v>26</v>
      </c>
      <c r="F4" s="4" t="s">
        <v>25</v>
      </c>
      <c r="G4" s="5">
        <v>63000</v>
      </c>
      <c r="H4" s="36" t="s">
        <v>50</v>
      </c>
      <c r="I4" s="36" t="s">
        <v>58</v>
      </c>
      <c r="J4" s="6" t="s">
        <v>41</v>
      </c>
      <c r="K4" s="4" t="str">
        <f>LEFT(Table3[[#This Row],[FirstName]],4)</f>
        <v>Dwig</v>
      </c>
      <c r="L4" s="4" t="str">
        <f>RIGHT(Table6[[#This Row],[EmployeeID]],3)</f>
        <v>003</v>
      </c>
    </row>
    <row r="5" spans="1:12" x14ac:dyDescent="0.25">
      <c r="A5" s="4">
        <v>1004</v>
      </c>
      <c r="B5" s="4" t="s">
        <v>13</v>
      </c>
      <c r="C5" s="4" t="s">
        <v>12</v>
      </c>
      <c r="D5" s="4">
        <v>31</v>
      </c>
      <c r="E5" s="4" t="s">
        <v>28</v>
      </c>
      <c r="F5" s="4" t="s">
        <v>29</v>
      </c>
      <c r="G5" s="5">
        <v>47000</v>
      </c>
      <c r="H5" s="36" t="s">
        <v>51</v>
      </c>
      <c r="I5" s="36" t="s">
        <v>59</v>
      </c>
      <c r="J5" s="6" t="s">
        <v>42</v>
      </c>
      <c r="K5" s="4" t="str">
        <f>LEFT(Table3[[#This Row],[FirstName]],4)</f>
        <v>Ange</v>
      </c>
      <c r="L5" s="4" t="str">
        <f>RIGHT(Table6[[#This Row],[EmployeeID]],3)</f>
        <v>004</v>
      </c>
    </row>
    <row r="6" spans="1:12" x14ac:dyDescent="0.25">
      <c r="A6" s="4">
        <v>1005</v>
      </c>
      <c r="B6" s="4" t="s">
        <v>14</v>
      </c>
      <c r="C6" s="4" t="s">
        <v>15</v>
      </c>
      <c r="D6" s="4">
        <v>32</v>
      </c>
      <c r="E6" s="4" t="s">
        <v>26</v>
      </c>
      <c r="F6" s="4" t="s">
        <v>30</v>
      </c>
      <c r="G6" s="5">
        <v>50000</v>
      </c>
      <c r="H6" s="36" t="s">
        <v>52</v>
      </c>
      <c r="I6" s="36" t="s">
        <v>60</v>
      </c>
      <c r="J6" s="6" t="s">
        <v>43</v>
      </c>
      <c r="K6" s="4" t="str">
        <f>LEFT(Table3[[#This Row],[FirstName]],4)</f>
        <v>Toby</v>
      </c>
      <c r="L6" s="4" t="str">
        <f>RIGHT(Table6[[#This Row],[EmployeeID]],3)</f>
        <v>005</v>
      </c>
    </row>
    <row r="7" spans="1:12" x14ac:dyDescent="0.25">
      <c r="A7" s="4">
        <v>1006</v>
      </c>
      <c r="B7" s="4" t="s">
        <v>8</v>
      </c>
      <c r="C7" s="4" t="s">
        <v>9</v>
      </c>
      <c r="D7" s="4">
        <v>35</v>
      </c>
      <c r="E7" s="4" t="s">
        <v>26</v>
      </c>
      <c r="F7" s="4" t="s">
        <v>31</v>
      </c>
      <c r="G7" s="5">
        <v>65000</v>
      </c>
      <c r="H7" s="36" t="s">
        <v>52</v>
      </c>
      <c r="I7" s="36" t="s">
        <v>61</v>
      </c>
      <c r="J7" s="6" t="s">
        <v>44</v>
      </c>
      <c r="K7" s="4" t="str">
        <f>LEFT(Table3[[#This Row],[FirstName]],4)</f>
        <v>Mich</v>
      </c>
      <c r="L7" s="4" t="str">
        <f>RIGHT(Table6[[#This Row],[EmployeeID]],3)</f>
        <v>006</v>
      </c>
    </row>
    <row r="8" spans="1:12" x14ac:dyDescent="0.25">
      <c r="A8" s="4">
        <v>1007</v>
      </c>
      <c r="B8" s="4" t="s">
        <v>33</v>
      </c>
      <c r="C8" s="4" t="s">
        <v>34</v>
      </c>
      <c r="D8" s="4">
        <v>32</v>
      </c>
      <c r="E8" s="4" t="s">
        <v>28</v>
      </c>
      <c r="F8" s="4" t="s">
        <v>32</v>
      </c>
      <c r="G8" s="5">
        <v>41000</v>
      </c>
      <c r="H8" s="36" t="s">
        <v>53</v>
      </c>
      <c r="I8" s="36" t="s">
        <v>61</v>
      </c>
      <c r="J8" s="6" t="s">
        <v>45</v>
      </c>
      <c r="K8" s="4" t="str">
        <f>LEFT(Table3[[#This Row],[FirstName]],4)</f>
        <v>Mere</v>
      </c>
      <c r="L8" s="4" t="str">
        <f>RIGHT(Table6[[#This Row],[EmployeeID]],3)</f>
        <v>007</v>
      </c>
    </row>
    <row r="9" spans="1:12" x14ac:dyDescent="0.25">
      <c r="A9" s="4">
        <v>1008</v>
      </c>
      <c r="B9" s="4" t="s">
        <v>16</v>
      </c>
      <c r="C9" s="4" t="s">
        <v>17</v>
      </c>
      <c r="D9" s="4">
        <v>38</v>
      </c>
      <c r="E9" s="4" t="s">
        <v>26</v>
      </c>
      <c r="F9" s="4" t="s">
        <v>25</v>
      </c>
      <c r="G9" s="5">
        <v>48000</v>
      </c>
      <c r="H9" s="36" t="s">
        <v>54</v>
      </c>
      <c r="I9" s="36" t="s">
        <v>62</v>
      </c>
      <c r="J9" s="6" t="s">
        <v>46</v>
      </c>
      <c r="K9" s="4" t="str">
        <f>LEFT(Table3[[#This Row],[FirstName]],4)</f>
        <v>Stan</v>
      </c>
      <c r="L9" s="4" t="str">
        <f>RIGHT(Table6[[#This Row],[EmployeeID]],3)</f>
        <v>008</v>
      </c>
    </row>
    <row r="10" spans="1:12" x14ac:dyDescent="0.25">
      <c r="A10" s="4">
        <v>1009</v>
      </c>
      <c r="B10" s="4" t="s">
        <v>10</v>
      </c>
      <c r="C10" s="4" t="s">
        <v>11</v>
      </c>
      <c r="D10" s="4">
        <v>31</v>
      </c>
      <c r="E10" s="4" t="s">
        <v>26</v>
      </c>
      <c r="F10" s="4" t="s">
        <v>29</v>
      </c>
      <c r="G10" s="5">
        <v>42000</v>
      </c>
      <c r="H10" s="36" t="s">
        <v>55</v>
      </c>
      <c r="I10" s="36" t="s">
        <v>62</v>
      </c>
      <c r="J10" s="6" t="s">
        <v>47</v>
      </c>
      <c r="K10" s="4" t="str">
        <f>LEFT(Table3[[#This Row],[FirstName]],4)</f>
        <v>Kevi</v>
      </c>
      <c r="L10" s="4" t="str">
        <f>RIGHT(Table6[[#This Row],[EmployeeID]],3)</f>
        <v>009</v>
      </c>
    </row>
    <row r="14" spans="1:12" ht="15.75" thickBot="1" x14ac:dyDescent="0.3"/>
    <row r="15" spans="1:12" x14ac:dyDescent="0.25">
      <c r="B15" s="101" t="s">
        <v>92</v>
      </c>
      <c r="C15" s="103"/>
      <c r="D15" s="103"/>
      <c r="E15" s="103"/>
      <c r="F15" s="104"/>
    </row>
    <row r="16" spans="1:12" ht="15.75" thickBot="1" x14ac:dyDescent="0.3">
      <c r="B16" s="102"/>
      <c r="C16" s="98" t="s">
        <v>93</v>
      </c>
      <c r="D16" s="99"/>
      <c r="E16" s="100"/>
      <c r="F16" s="105"/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862C-FF60-4E24-9054-4C595B8DA66E}">
  <sheetPr codeName="Sheet5">
    <tabColor theme="4" tint="-0.499984740745262"/>
  </sheetPr>
  <dimension ref="A1:L16"/>
  <sheetViews>
    <sheetView workbookViewId="0">
      <selection activeCell="J2" sqref="J2"/>
    </sheetView>
  </sheetViews>
  <sheetFormatPr defaultColWidth="13.7109375" defaultRowHeight="15" x14ac:dyDescent="0.25"/>
  <cols>
    <col min="1" max="1" width="13.85546875" customWidth="1"/>
    <col min="2" max="2" width="17.140625" customWidth="1"/>
    <col min="3" max="3" width="11.85546875" customWidth="1"/>
    <col min="4" max="4" width="6.5703125" customWidth="1"/>
    <col min="5" max="5" width="9.7109375" customWidth="1"/>
    <col min="6" max="6" width="17.28515625" customWidth="1"/>
    <col min="7" max="7" width="14" customWidth="1"/>
    <col min="8" max="8" width="11.42578125" customWidth="1"/>
    <col min="9" max="9" width="10.5703125" customWidth="1"/>
    <col min="10" max="10" width="21.85546875" customWidth="1"/>
    <col min="11" max="11" width="22.5703125" customWidth="1"/>
    <col min="12" max="12" width="17.42578125" customWidth="1"/>
  </cols>
  <sheetData>
    <row r="1" spans="1:12" x14ac:dyDescent="0.25">
      <c r="A1" s="33" t="s">
        <v>20</v>
      </c>
      <c r="B1" s="34" t="s">
        <v>0</v>
      </c>
      <c r="C1" s="34" t="s">
        <v>1</v>
      </c>
      <c r="D1" s="34" t="s">
        <v>23</v>
      </c>
      <c r="E1" s="34" t="s">
        <v>24</v>
      </c>
      <c r="F1" s="34" t="s">
        <v>21</v>
      </c>
      <c r="G1" s="35" t="s">
        <v>22</v>
      </c>
      <c r="H1" s="34" t="s">
        <v>36</v>
      </c>
      <c r="I1" s="34" t="s">
        <v>37</v>
      </c>
      <c r="J1" t="s">
        <v>94</v>
      </c>
      <c r="K1" s="38" t="s">
        <v>95</v>
      </c>
      <c r="L1" s="40" t="s">
        <v>97</v>
      </c>
    </row>
    <row r="2" spans="1:12" x14ac:dyDescent="0.25">
      <c r="A2" s="3">
        <v>1001</v>
      </c>
      <c r="B2" s="4" t="s">
        <v>2</v>
      </c>
      <c r="C2" s="4" t="s">
        <v>3</v>
      </c>
      <c r="D2" s="4">
        <v>30</v>
      </c>
      <c r="E2" s="4" t="s">
        <v>26</v>
      </c>
      <c r="F2" s="4" t="s">
        <v>25</v>
      </c>
      <c r="G2" s="5">
        <v>45000</v>
      </c>
      <c r="H2" s="6">
        <v>37197</v>
      </c>
      <c r="I2" s="6">
        <v>42253</v>
      </c>
      <c r="J2" s="6" t="str">
        <f>RIGHT(Table7[[#This Row],[StartDate]],4)</f>
        <v>7197</v>
      </c>
      <c r="K2" s="6" t="str">
        <f>TEXT(Table7[[#This Row],[StartDate]],"yyyy/mm/dd")</f>
        <v>2001/11/02</v>
      </c>
      <c r="L2" s="39" t="str">
        <f>TEXT(Table7[[#This Row],[TEXT(H2,"yyyy/mm/dd")]],"yy")</f>
        <v>01</v>
      </c>
    </row>
    <row r="3" spans="1:12" x14ac:dyDescent="0.25">
      <c r="A3" s="3">
        <v>1002</v>
      </c>
      <c r="B3" s="4" t="s">
        <v>4</v>
      </c>
      <c r="C3" s="4" t="s">
        <v>5</v>
      </c>
      <c r="D3" s="4">
        <v>30</v>
      </c>
      <c r="E3" s="4" t="s">
        <v>28</v>
      </c>
      <c r="F3" s="4" t="s">
        <v>27</v>
      </c>
      <c r="G3" s="5">
        <v>36000</v>
      </c>
      <c r="H3" s="6">
        <v>36436</v>
      </c>
      <c r="I3" s="6">
        <v>42287</v>
      </c>
      <c r="J3" s="6" t="str">
        <f>RIGHT(Table7[[#This Row],[StartDate]],4)</f>
        <v>6436</v>
      </c>
      <c r="K3" s="6" t="str">
        <f>TEXT(Table7[[#This Row],[StartDate]],"yyyy/mm/dd")</f>
        <v>1999/10/03</v>
      </c>
      <c r="L3" s="6" t="str">
        <f>TEXT(Table7[[#This Row],[TEXT(H2,"yyyy/mm/dd")]],"yy")</f>
        <v>99</v>
      </c>
    </row>
    <row r="4" spans="1:12" x14ac:dyDescent="0.25">
      <c r="A4" s="3">
        <v>1003</v>
      </c>
      <c r="B4" s="4" t="s">
        <v>6</v>
      </c>
      <c r="C4" s="4" t="s">
        <v>7</v>
      </c>
      <c r="D4" s="4">
        <v>29</v>
      </c>
      <c r="E4" s="4" t="s">
        <v>26</v>
      </c>
      <c r="F4" s="4" t="s">
        <v>25</v>
      </c>
      <c r="G4" s="5">
        <v>63000</v>
      </c>
      <c r="H4" s="6">
        <v>36711</v>
      </c>
      <c r="I4" s="6">
        <v>42986</v>
      </c>
      <c r="J4" s="6" t="str">
        <f>RIGHT(Table7[[#This Row],[StartDate]],4)</f>
        <v>6711</v>
      </c>
      <c r="K4" s="6" t="str">
        <f>TEXT(Table7[[#This Row],[StartDate]],"yyyy/mm/dd")</f>
        <v>2000/07/04</v>
      </c>
      <c r="L4" s="6" t="str">
        <f>TEXT(Table7[[#This Row],[TEXT(H2,"yyyy/mm/dd")]],"yy")</f>
        <v>00</v>
      </c>
    </row>
    <row r="5" spans="1:12" x14ac:dyDescent="0.25">
      <c r="A5" s="3">
        <v>1004</v>
      </c>
      <c r="B5" s="4" t="s">
        <v>13</v>
      </c>
      <c r="C5" s="4" t="s">
        <v>12</v>
      </c>
      <c r="D5" s="4">
        <v>31</v>
      </c>
      <c r="E5" s="4" t="s">
        <v>28</v>
      </c>
      <c r="F5" s="4" t="s">
        <v>29</v>
      </c>
      <c r="G5" s="5">
        <v>47000</v>
      </c>
      <c r="H5" s="6">
        <v>36530</v>
      </c>
      <c r="I5" s="6">
        <v>42341</v>
      </c>
      <c r="J5" s="6" t="str">
        <f>RIGHT(Table7[[#This Row],[StartDate]],4)</f>
        <v>6530</v>
      </c>
      <c r="K5" s="6" t="str">
        <f>TEXT(Table7[[#This Row],[StartDate]],"yyyy/mm/dd")</f>
        <v>2000/01/05</v>
      </c>
      <c r="L5" s="6" t="str">
        <f>TEXT(Table7[[#This Row],[TEXT(H2,"yyyy/mm/dd")]],"yy")</f>
        <v>00</v>
      </c>
    </row>
    <row r="6" spans="1:12" x14ac:dyDescent="0.25">
      <c r="A6" s="3">
        <v>1005</v>
      </c>
      <c r="B6" s="4" t="s">
        <v>14</v>
      </c>
      <c r="C6" s="4" t="s">
        <v>15</v>
      </c>
      <c r="D6" s="4">
        <v>32</v>
      </c>
      <c r="E6" s="4" t="s">
        <v>26</v>
      </c>
      <c r="F6" s="4" t="s">
        <v>30</v>
      </c>
      <c r="G6" s="5">
        <v>50000</v>
      </c>
      <c r="H6" s="6">
        <v>37017</v>
      </c>
      <c r="I6" s="6">
        <v>42977</v>
      </c>
      <c r="J6" s="6" t="str">
        <f>RIGHT(Table7[[#This Row],[StartDate]],4)</f>
        <v>7017</v>
      </c>
      <c r="K6" s="6" t="str">
        <f>TEXT(Table7[[#This Row],[StartDate]],"yyyy/mm/dd")</f>
        <v>2001/05/06</v>
      </c>
      <c r="L6" s="6" t="str">
        <f>TEXT(Table7[[#This Row],[TEXT(H2,"yyyy/mm/dd")]],"yy")</f>
        <v>01</v>
      </c>
    </row>
    <row r="7" spans="1:12" x14ac:dyDescent="0.25">
      <c r="A7" s="3">
        <v>1006</v>
      </c>
      <c r="B7" s="4" t="s">
        <v>8</v>
      </c>
      <c r="C7" s="4" t="s">
        <v>9</v>
      </c>
      <c r="D7" s="4">
        <v>35</v>
      </c>
      <c r="E7" s="4" t="s">
        <v>26</v>
      </c>
      <c r="F7" s="4" t="s">
        <v>31</v>
      </c>
      <c r="G7" s="5">
        <v>65000</v>
      </c>
      <c r="H7" s="6">
        <v>35040</v>
      </c>
      <c r="I7" s="6">
        <v>41528</v>
      </c>
      <c r="J7" s="6" t="str">
        <f>RIGHT(Table7[[#This Row],[StartDate]],4)</f>
        <v>5040</v>
      </c>
      <c r="K7" s="6" t="str">
        <f>TEXT(Table7[[#This Row],[StartDate]],"yyyy/mm/dd")</f>
        <v>1995/12/07</v>
      </c>
      <c r="L7" s="6" t="str">
        <f>TEXT(Table7[[#This Row],[TEXT(H2,"yyyy/mm/dd")]],"yy")</f>
        <v>95</v>
      </c>
    </row>
    <row r="8" spans="1:12" x14ac:dyDescent="0.25">
      <c r="A8" s="3">
        <v>1007</v>
      </c>
      <c r="B8" s="4" t="s">
        <v>33</v>
      </c>
      <c r="C8" s="4" t="s">
        <v>34</v>
      </c>
      <c r="D8" s="4">
        <v>32</v>
      </c>
      <c r="E8" s="4" t="s">
        <v>28</v>
      </c>
      <c r="F8" s="4" t="s">
        <v>32</v>
      </c>
      <c r="G8" s="5">
        <v>41000</v>
      </c>
      <c r="H8" s="6">
        <v>37933</v>
      </c>
      <c r="I8" s="6">
        <v>41551</v>
      </c>
      <c r="J8" s="6" t="str">
        <f>RIGHT(Table7[[#This Row],[StartDate]],4)</f>
        <v>7933</v>
      </c>
      <c r="K8" s="6" t="str">
        <f>TEXT(Table7[[#This Row],[StartDate]],"yyyy/mm/dd")</f>
        <v>2003/11/08</v>
      </c>
      <c r="L8" s="6" t="str">
        <f>TEXT(Table7[[#This Row],[TEXT(H2,"yyyy/mm/dd")]],"yy")</f>
        <v>03</v>
      </c>
    </row>
    <row r="9" spans="1:12" x14ac:dyDescent="0.25">
      <c r="A9" s="3">
        <v>1008</v>
      </c>
      <c r="B9" s="4" t="s">
        <v>16</v>
      </c>
      <c r="C9" s="4" t="s">
        <v>17</v>
      </c>
      <c r="D9" s="4">
        <v>38</v>
      </c>
      <c r="E9" s="4" t="s">
        <v>26</v>
      </c>
      <c r="F9" s="4" t="s">
        <v>25</v>
      </c>
      <c r="G9" s="5">
        <v>48000</v>
      </c>
      <c r="H9" s="6">
        <v>37416</v>
      </c>
      <c r="I9" s="6">
        <v>42116</v>
      </c>
      <c r="J9" s="6" t="str">
        <f>RIGHT(Table7[[#This Row],[StartDate]],4)</f>
        <v>7416</v>
      </c>
      <c r="K9" s="6" t="str">
        <f>TEXT(Table7[[#This Row],[StartDate]],"yyyy/mm/dd")</f>
        <v>2002/06/09</v>
      </c>
      <c r="L9" s="6" t="str">
        <f>TEXT(Table7[[#This Row],[TEXT(H2,"yyyy/mm/dd")]],"yy")</f>
        <v>02</v>
      </c>
    </row>
    <row r="10" spans="1:12" x14ac:dyDescent="0.25">
      <c r="A10" s="8">
        <v>1009</v>
      </c>
      <c r="B10" s="9" t="s">
        <v>10</v>
      </c>
      <c r="C10" s="9" t="s">
        <v>11</v>
      </c>
      <c r="D10" s="9">
        <v>31</v>
      </c>
      <c r="E10" s="9" t="s">
        <v>26</v>
      </c>
      <c r="F10" s="9" t="s">
        <v>29</v>
      </c>
      <c r="G10" s="10">
        <v>42000</v>
      </c>
      <c r="H10" s="11">
        <v>37843</v>
      </c>
      <c r="I10" s="11">
        <v>40800</v>
      </c>
      <c r="J10" s="11" t="str">
        <f>RIGHT(Table7[[#This Row],[StartDate]],4)</f>
        <v>7843</v>
      </c>
      <c r="K10" s="11" t="str">
        <f>TEXT(Table7[[#This Row],[StartDate]],"yyyy/mm/dd")</f>
        <v>2003/08/10</v>
      </c>
      <c r="L10" s="11" t="str">
        <f>TEXT(Table7[[#This Row],[TEXT(H2,"yyyy/mm/dd")]],"yy")</f>
        <v>03</v>
      </c>
    </row>
    <row r="12" spans="1:12" x14ac:dyDescent="0.25">
      <c r="H12" s="1"/>
    </row>
    <row r="13" spans="1:12" x14ac:dyDescent="0.25">
      <c r="H13" s="2"/>
    </row>
    <row r="15" spans="1:12" x14ac:dyDescent="0.25">
      <c r="B15" t="s">
        <v>99</v>
      </c>
    </row>
    <row r="16" spans="1:12" x14ac:dyDescent="0.25">
      <c r="C16" s="41" t="s">
        <v>101</v>
      </c>
      <c r="D16" t="s">
        <v>98</v>
      </c>
    </row>
  </sheetData>
  <pageMargins left="0.7" right="0.7" top="0.75" bottom="0.75" header="0.3" footer="0.3"/>
  <pageSetup paperSize="9" orientation="landscape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9BBA-836F-48E1-B067-27B71B706556}">
  <sheetPr codeName="Sheet6">
    <tabColor theme="8"/>
  </sheetPr>
  <dimension ref="A1:K17"/>
  <sheetViews>
    <sheetView workbookViewId="0">
      <selection activeCell="J3" sqref="J3"/>
    </sheetView>
  </sheetViews>
  <sheetFormatPr defaultColWidth="13.7109375" defaultRowHeight="15" x14ac:dyDescent="0.25"/>
  <cols>
    <col min="1" max="1" width="13.85546875" customWidth="1"/>
    <col min="4" max="4" width="7.710937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s="42" t="s">
        <v>22</v>
      </c>
      <c r="H1" t="s">
        <v>36</v>
      </c>
      <c r="I1" t="s">
        <v>37</v>
      </c>
      <c r="J1" t="s">
        <v>68</v>
      </c>
      <c r="K1" t="s">
        <v>96</v>
      </c>
    </row>
    <row r="2" spans="1:11" x14ac:dyDescent="0.25">
      <c r="A2">
        <v>1001</v>
      </c>
      <c r="B2" s="2" t="s">
        <v>2</v>
      </c>
      <c r="C2" s="2" t="s">
        <v>3</v>
      </c>
      <c r="D2">
        <v>30</v>
      </c>
      <c r="E2" t="s">
        <v>26</v>
      </c>
      <c r="F2" t="s">
        <v>25</v>
      </c>
      <c r="G2" s="42">
        <v>45000</v>
      </c>
      <c r="H2" s="1">
        <v>37197</v>
      </c>
      <c r="I2" s="1">
        <v>42253</v>
      </c>
      <c r="J2" t="str">
        <f>TRIM(Table8[[#This Row],[LastName]])</f>
        <v>Halpert</v>
      </c>
    </row>
    <row r="3" spans="1:11" x14ac:dyDescent="0.25">
      <c r="A3">
        <v>1002</v>
      </c>
      <c r="B3" s="2" t="s">
        <v>4</v>
      </c>
      <c r="C3" s="2" t="s">
        <v>5</v>
      </c>
      <c r="D3">
        <v>30</v>
      </c>
      <c r="E3" t="s">
        <v>28</v>
      </c>
      <c r="F3" t="s">
        <v>27</v>
      </c>
      <c r="G3" s="42">
        <v>36000</v>
      </c>
      <c r="H3" s="1">
        <v>36436</v>
      </c>
      <c r="I3" s="1">
        <v>42287</v>
      </c>
      <c r="J3" t="str">
        <f>TRIM(Table8[[#This Row],[LastName]])</f>
        <v>Beasley</v>
      </c>
    </row>
    <row r="4" spans="1:11" x14ac:dyDescent="0.25">
      <c r="A4">
        <v>1003</v>
      </c>
      <c r="B4" s="2" t="s">
        <v>6</v>
      </c>
      <c r="C4" s="2" t="s">
        <v>67</v>
      </c>
      <c r="D4">
        <v>29</v>
      </c>
      <c r="E4" t="s">
        <v>26</v>
      </c>
      <c r="F4" t="s">
        <v>25</v>
      </c>
      <c r="G4" s="42">
        <v>63000</v>
      </c>
      <c r="H4" s="1">
        <v>36711</v>
      </c>
      <c r="I4" s="1">
        <v>42986</v>
      </c>
      <c r="J4" t="str">
        <f>TRIM(Table8[[#This Row],[LastName]])</f>
        <v>Schrute</v>
      </c>
    </row>
    <row r="5" spans="1:11" x14ac:dyDescent="0.25">
      <c r="A5">
        <v>1004</v>
      </c>
      <c r="B5" s="2" t="s">
        <v>13</v>
      </c>
      <c r="C5" s="2" t="s">
        <v>12</v>
      </c>
      <c r="D5">
        <v>31</v>
      </c>
      <c r="E5" t="s">
        <v>28</v>
      </c>
      <c r="F5" t="s">
        <v>29</v>
      </c>
      <c r="G5" s="42">
        <v>47000</v>
      </c>
      <c r="H5" s="1">
        <v>36530</v>
      </c>
      <c r="I5" s="1">
        <v>42341</v>
      </c>
      <c r="J5" t="str">
        <f>TRIM(Table8[[#This Row],[LastName]])</f>
        <v>Martin</v>
      </c>
    </row>
    <row r="6" spans="1:11" x14ac:dyDescent="0.25">
      <c r="A6">
        <v>1005</v>
      </c>
      <c r="B6" s="2" t="s">
        <v>14</v>
      </c>
      <c r="C6" s="2" t="s">
        <v>66</v>
      </c>
      <c r="D6">
        <v>32</v>
      </c>
      <c r="E6" t="s">
        <v>26</v>
      </c>
      <c r="F6" t="s">
        <v>30</v>
      </c>
      <c r="G6" s="42">
        <v>50000</v>
      </c>
      <c r="H6" s="1">
        <v>37017</v>
      </c>
      <c r="I6" s="1">
        <v>42977</v>
      </c>
      <c r="J6" t="str">
        <f>TRIM(Table8[[#This Row],[LastName]])</f>
        <v>Flenderson</v>
      </c>
    </row>
    <row r="7" spans="1:11" x14ac:dyDescent="0.25">
      <c r="A7">
        <v>1006</v>
      </c>
      <c r="B7" s="2" t="s">
        <v>8</v>
      </c>
      <c r="C7" s="2" t="s">
        <v>65</v>
      </c>
      <c r="D7">
        <v>35</v>
      </c>
      <c r="E7" t="s">
        <v>26</v>
      </c>
      <c r="F7" t="s">
        <v>31</v>
      </c>
      <c r="G7" s="42">
        <v>65000</v>
      </c>
      <c r="H7" s="1">
        <v>35040</v>
      </c>
      <c r="I7" s="1">
        <v>41528</v>
      </c>
      <c r="J7" t="str">
        <f>TRIM(Table8[[#This Row],[LastName]])</f>
        <v>Scott</v>
      </c>
    </row>
    <row r="8" spans="1:11" x14ac:dyDescent="0.25">
      <c r="A8">
        <v>1007</v>
      </c>
      <c r="B8" s="2" t="s">
        <v>33</v>
      </c>
      <c r="C8" s="2" t="s">
        <v>34</v>
      </c>
      <c r="D8">
        <v>32</v>
      </c>
      <c r="E8" t="s">
        <v>28</v>
      </c>
      <c r="F8" t="s">
        <v>32</v>
      </c>
      <c r="G8" s="42">
        <v>41000</v>
      </c>
      <c r="H8" s="1">
        <v>37933</v>
      </c>
      <c r="I8" s="1">
        <v>41551</v>
      </c>
      <c r="J8" t="str">
        <f>TRIM(Table8[[#This Row],[LastName]])</f>
        <v>Palmer</v>
      </c>
    </row>
    <row r="9" spans="1:11" x14ac:dyDescent="0.25">
      <c r="A9">
        <v>1008</v>
      </c>
      <c r="B9" s="2" t="s">
        <v>16</v>
      </c>
      <c r="C9" s="2" t="s">
        <v>64</v>
      </c>
      <c r="D9">
        <v>38</v>
      </c>
      <c r="E9" t="s">
        <v>26</v>
      </c>
      <c r="F9" t="s">
        <v>25</v>
      </c>
      <c r="G9" s="42">
        <v>48000</v>
      </c>
      <c r="H9" s="1">
        <v>37416</v>
      </c>
      <c r="I9" s="1">
        <v>42116</v>
      </c>
      <c r="J9" t="str">
        <f>TRIM(Table8[[#This Row],[LastName]])</f>
        <v>Hudson</v>
      </c>
    </row>
    <row r="10" spans="1:11" x14ac:dyDescent="0.25">
      <c r="A10">
        <v>1009</v>
      </c>
      <c r="B10" s="2" t="s">
        <v>10</v>
      </c>
      <c r="C10" s="2" t="s">
        <v>63</v>
      </c>
      <c r="D10">
        <v>31</v>
      </c>
      <c r="E10" t="s">
        <v>26</v>
      </c>
      <c r="F10" t="s">
        <v>29</v>
      </c>
      <c r="G10" s="42">
        <v>42000</v>
      </c>
      <c r="H10" s="1">
        <v>37843</v>
      </c>
      <c r="I10" s="1">
        <v>40800</v>
      </c>
      <c r="J10" t="str">
        <f>TRIM(Table8[[#This Row],[LastName]])</f>
        <v>Malone</v>
      </c>
    </row>
    <row r="17" spans="2:3" x14ac:dyDescent="0.25">
      <c r="B17" t="s">
        <v>100</v>
      </c>
      <c r="C17" t="s">
        <v>69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9C42-087D-43BC-95CC-49AE54CDC17A}">
  <sheetPr codeName="Sheet7">
    <tabColor theme="0" tint="-4.9989318521683403E-2"/>
  </sheetPr>
  <dimension ref="A1:J20"/>
  <sheetViews>
    <sheetView topLeftCell="B7" zoomScale="130" zoomScaleNormal="130" workbookViewId="0">
      <selection activeCell="F15" sqref="F15"/>
    </sheetView>
  </sheetViews>
  <sheetFormatPr defaultColWidth="13.7109375" defaultRowHeight="15" x14ac:dyDescent="0.25"/>
  <cols>
    <col min="1" max="1" width="13.85546875" customWidth="1"/>
    <col min="4" max="4" width="7.7109375" customWidth="1"/>
  </cols>
  <sheetData>
    <row r="1" spans="1:10" x14ac:dyDescent="0.25">
      <c r="A1" s="33" t="s">
        <v>20</v>
      </c>
      <c r="B1" s="34" t="s">
        <v>0</v>
      </c>
      <c r="C1" s="34" t="s">
        <v>1</v>
      </c>
      <c r="D1" s="34" t="s">
        <v>23</v>
      </c>
      <c r="E1" s="34" t="s">
        <v>24</v>
      </c>
      <c r="F1" s="34" t="s">
        <v>21</v>
      </c>
      <c r="G1" s="34" t="s">
        <v>22</v>
      </c>
      <c r="H1" s="34" t="s">
        <v>36</v>
      </c>
      <c r="I1" s="34" t="s">
        <v>37</v>
      </c>
      <c r="J1" s="44" t="s">
        <v>96</v>
      </c>
    </row>
    <row r="2" spans="1:10" x14ac:dyDescent="0.25">
      <c r="A2" s="3">
        <v>1001</v>
      </c>
      <c r="B2" s="4" t="s">
        <v>2</v>
      </c>
      <c r="C2" s="4" t="s">
        <v>3</v>
      </c>
      <c r="D2" s="4">
        <v>30</v>
      </c>
      <c r="E2" s="4" t="s">
        <v>26</v>
      </c>
      <c r="F2" s="4" t="s">
        <v>25</v>
      </c>
      <c r="G2" s="4">
        <v>45000</v>
      </c>
      <c r="H2" s="36" t="s">
        <v>48</v>
      </c>
      <c r="I2" s="36" t="s">
        <v>56</v>
      </c>
      <c r="J2" s="45" t="str">
        <f>SUBSTITUTE(Table9[[#This Row],[StartDate]],"/","|",1)</f>
        <v>11|2/2001</v>
      </c>
    </row>
    <row r="3" spans="1:10" x14ac:dyDescent="0.25">
      <c r="A3" s="3">
        <v>1002</v>
      </c>
      <c r="B3" s="4" t="s">
        <v>4</v>
      </c>
      <c r="C3" s="4" t="s">
        <v>5</v>
      </c>
      <c r="D3" s="4">
        <v>30</v>
      </c>
      <c r="E3" s="4" t="s">
        <v>28</v>
      </c>
      <c r="F3" s="4" t="s">
        <v>27</v>
      </c>
      <c r="G3" s="4">
        <v>36000</v>
      </c>
      <c r="H3" s="36" t="s">
        <v>49</v>
      </c>
      <c r="I3" s="36" t="s">
        <v>57</v>
      </c>
      <c r="J3" s="45" t="str">
        <f>SUBSTITUTE(Table9[[#This Row],[StartDate]],"/","|",1)</f>
        <v>10|3/1999</v>
      </c>
    </row>
    <row r="4" spans="1:10" x14ac:dyDescent="0.25">
      <c r="A4" s="3">
        <v>1003</v>
      </c>
      <c r="B4" s="4" t="s">
        <v>6</v>
      </c>
      <c r="C4" s="4" t="s">
        <v>7</v>
      </c>
      <c r="D4" s="4">
        <v>29</v>
      </c>
      <c r="E4" s="4" t="s">
        <v>26</v>
      </c>
      <c r="F4" s="4" t="s">
        <v>25</v>
      </c>
      <c r="G4" s="4">
        <v>63000</v>
      </c>
      <c r="H4" s="36" t="s">
        <v>50</v>
      </c>
      <c r="I4" s="36" t="s">
        <v>58</v>
      </c>
      <c r="J4" s="45" t="str">
        <f>SUBSTITUTE(Table9[[#This Row],[StartDate]],"/","|",1)</f>
        <v>7|4/2000</v>
      </c>
    </row>
    <row r="5" spans="1:10" x14ac:dyDescent="0.25">
      <c r="A5" s="3">
        <v>1004</v>
      </c>
      <c r="B5" s="4" t="s">
        <v>13</v>
      </c>
      <c r="C5" s="4" t="s">
        <v>12</v>
      </c>
      <c r="D5" s="4">
        <v>31</v>
      </c>
      <c r="E5" s="4" t="s">
        <v>28</v>
      </c>
      <c r="F5" s="4" t="s">
        <v>29</v>
      </c>
      <c r="G5" s="4">
        <v>47000</v>
      </c>
      <c r="H5" s="36" t="s">
        <v>51</v>
      </c>
      <c r="I5" s="36" t="s">
        <v>59</v>
      </c>
      <c r="J5" s="45" t="str">
        <f>SUBSTITUTE(Table9[[#This Row],[StartDate]],"/","|",1)</f>
        <v>1|5/2000</v>
      </c>
    </row>
    <row r="6" spans="1:10" x14ac:dyDescent="0.25">
      <c r="A6" s="3">
        <v>1005</v>
      </c>
      <c r="B6" s="4" t="s">
        <v>14</v>
      </c>
      <c r="C6" s="4" t="s">
        <v>15</v>
      </c>
      <c r="D6" s="4">
        <v>32</v>
      </c>
      <c r="E6" s="4" t="s">
        <v>26</v>
      </c>
      <c r="F6" s="4" t="s">
        <v>30</v>
      </c>
      <c r="G6" s="4">
        <v>50000</v>
      </c>
      <c r="H6" s="36" t="s">
        <v>52</v>
      </c>
      <c r="I6" s="36" t="s">
        <v>60</v>
      </c>
      <c r="J6" s="45" t="str">
        <f>SUBSTITUTE(Table9[[#This Row],[StartDate]],"/","|",1)</f>
        <v>5|6/2001</v>
      </c>
    </row>
    <row r="7" spans="1:10" x14ac:dyDescent="0.25">
      <c r="A7" s="3">
        <v>1006</v>
      </c>
      <c r="B7" s="4" t="s">
        <v>8</v>
      </c>
      <c r="C7" s="4" t="s">
        <v>9</v>
      </c>
      <c r="D7" s="4">
        <v>35</v>
      </c>
      <c r="E7" s="4" t="s">
        <v>26</v>
      </c>
      <c r="F7" s="4" t="s">
        <v>31</v>
      </c>
      <c r="G7" s="4">
        <v>65000</v>
      </c>
      <c r="H7" s="36" t="s">
        <v>52</v>
      </c>
      <c r="I7" s="36" t="s">
        <v>61</v>
      </c>
      <c r="J7" s="45" t="str">
        <f>SUBSTITUTE(Table9[[#This Row],[StartDate]],"/","|",1)</f>
        <v>5|6/2001</v>
      </c>
    </row>
    <row r="8" spans="1:10" x14ac:dyDescent="0.25">
      <c r="A8" s="3">
        <v>1007</v>
      </c>
      <c r="B8" s="4" t="s">
        <v>33</v>
      </c>
      <c r="C8" s="4" t="s">
        <v>34</v>
      </c>
      <c r="D8" s="4">
        <v>32</v>
      </c>
      <c r="E8" s="4" t="s">
        <v>28</v>
      </c>
      <c r="F8" s="4" t="s">
        <v>32</v>
      </c>
      <c r="G8" s="4">
        <v>41000</v>
      </c>
      <c r="H8" s="36" t="s">
        <v>53</v>
      </c>
      <c r="I8" s="36" t="s">
        <v>61</v>
      </c>
      <c r="J8" s="45" t="str">
        <f>SUBSTITUTE(Table9[[#This Row],[StartDate]],"/","|",1)</f>
        <v>11|8/2003</v>
      </c>
    </row>
    <row r="9" spans="1:10" x14ac:dyDescent="0.25">
      <c r="A9" s="3">
        <v>1008</v>
      </c>
      <c r="B9" s="4" t="s">
        <v>16</v>
      </c>
      <c r="C9" s="4" t="s">
        <v>17</v>
      </c>
      <c r="D9" s="4">
        <v>38</v>
      </c>
      <c r="E9" s="4" t="s">
        <v>26</v>
      </c>
      <c r="F9" s="4" t="s">
        <v>25</v>
      </c>
      <c r="G9" s="4">
        <v>48000</v>
      </c>
      <c r="H9" s="36" t="s">
        <v>54</v>
      </c>
      <c r="I9" s="36" t="s">
        <v>62</v>
      </c>
      <c r="J9" s="45" t="str">
        <f>SUBSTITUTE(Table9[[#This Row],[StartDate]],"/","|",1)</f>
        <v>6|9/2002</v>
      </c>
    </row>
    <row r="10" spans="1:10" x14ac:dyDescent="0.25">
      <c r="A10" s="8">
        <v>1009</v>
      </c>
      <c r="B10" s="9" t="s">
        <v>10</v>
      </c>
      <c r="C10" s="9" t="s">
        <v>11</v>
      </c>
      <c r="D10" s="9">
        <v>31</v>
      </c>
      <c r="E10" s="9" t="s">
        <v>26</v>
      </c>
      <c r="F10" s="9" t="s">
        <v>29</v>
      </c>
      <c r="G10" s="9">
        <v>42000</v>
      </c>
      <c r="H10" s="46" t="s">
        <v>55</v>
      </c>
      <c r="I10" s="46" t="s">
        <v>62</v>
      </c>
      <c r="J10" s="43" t="str">
        <f>SUBSTITUTE(Table9[[#This Row],[StartDate]],"/","|",1)</f>
        <v>8|10/2003</v>
      </c>
    </row>
    <row r="12" spans="1:10" x14ac:dyDescent="0.25">
      <c r="H12" s="2"/>
      <c r="I12" s="2"/>
    </row>
    <row r="13" spans="1:10" x14ac:dyDescent="0.25">
      <c r="C13" s="55" t="s">
        <v>105</v>
      </c>
      <c r="H13" s="2"/>
      <c r="I13" s="2"/>
    </row>
    <row r="14" spans="1:10" x14ac:dyDescent="0.25">
      <c r="H14" s="2"/>
      <c r="I14" s="2"/>
    </row>
    <row r="15" spans="1:10" x14ac:dyDescent="0.25">
      <c r="H15" s="2"/>
      <c r="I15" s="2"/>
    </row>
    <row r="16" spans="1:10" x14ac:dyDescent="0.25">
      <c r="C16" t="s">
        <v>70</v>
      </c>
      <c r="D16" t="s">
        <v>71</v>
      </c>
      <c r="E16" t="s">
        <v>72</v>
      </c>
      <c r="H16" s="2"/>
      <c r="I16" s="2"/>
    </row>
    <row r="17" spans="8:9" x14ac:dyDescent="0.25">
      <c r="H17" s="2"/>
      <c r="I17" s="2"/>
    </row>
    <row r="18" spans="8:9" x14ac:dyDescent="0.25">
      <c r="H18" s="2"/>
      <c r="I18" s="2"/>
    </row>
    <row r="19" spans="8:9" x14ac:dyDescent="0.25">
      <c r="H19" s="2"/>
      <c r="I19" s="2"/>
    </row>
    <row r="20" spans="8:9" x14ac:dyDescent="0.25">
      <c r="H20" s="2"/>
      <c r="I20" s="2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7C31-5FD1-4473-A6A1-29ABAD3F7755}">
  <sheetPr codeName="Sheet10">
    <tabColor theme="9" tint="-0.249977111117893"/>
  </sheetPr>
  <dimension ref="A1:L16"/>
  <sheetViews>
    <sheetView topLeftCell="B1" workbookViewId="0">
      <selection activeCell="D14" sqref="D14"/>
    </sheetView>
  </sheetViews>
  <sheetFormatPr defaultRowHeight="15" x14ac:dyDescent="0.25"/>
  <cols>
    <col min="1" max="1" width="13.85546875" customWidth="1"/>
    <col min="2" max="2" width="12.28515625" customWidth="1"/>
    <col min="3" max="3" width="11.85546875" customWidth="1"/>
    <col min="4" max="5" width="10.7109375" customWidth="1"/>
    <col min="6" max="6" width="16.5703125" customWidth="1"/>
    <col min="7" max="7" width="11.5703125" bestFit="1" customWidth="1"/>
    <col min="8" max="8" width="14.28515625" customWidth="1"/>
    <col min="9" max="9" width="14.7109375" customWidth="1"/>
    <col min="10" max="10" width="29.42578125" customWidth="1"/>
    <col min="11" max="11" width="3.85546875" customWidth="1"/>
    <col min="12" max="12" width="33.85546875" customWidth="1"/>
  </cols>
  <sheetData>
    <row r="1" spans="1:12" ht="15.75" x14ac:dyDescent="0.25">
      <c r="A1" s="47" t="s">
        <v>20</v>
      </c>
      <c r="B1" s="48" t="s">
        <v>0</v>
      </c>
      <c r="C1" s="48" t="s">
        <v>1</v>
      </c>
      <c r="D1" s="48" t="s">
        <v>23</v>
      </c>
      <c r="E1" s="48" t="s">
        <v>24</v>
      </c>
      <c r="F1" s="48" t="s">
        <v>21</v>
      </c>
      <c r="G1" s="49" t="s">
        <v>22</v>
      </c>
      <c r="H1" s="48" t="s">
        <v>36</v>
      </c>
      <c r="I1" s="48" t="s">
        <v>37</v>
      </c>
      <c r="J1" s="50" t="s">
        <v>102</v>
      </c>
      <c r="K1" s="48" t="s">
        <v>96</v>
      </c>
      <c r="L1" s="51" t="s">
        <v>104</v>
      </c>
    </row>
    <row r="2" spans="1:12" x14ac:dyDescent="0.25">
      <c r="A2" s="3">
        <v>1001</v>
      </c>
      <c r="B2" s="4" t="s">
        <v>2</v>
      </c>
      <c r="C2" s="4" t="s">
        <v>3</v>
      </c>
      <c r="D2" s="4">
        <v>30</v>
      </c>
      <c r="E2" s="4" t="s">
        <v>26</v>
      </c>
      <c r="F2" s="4" t="s">
        <v>25</v>
      </c>
      <c r="G2" s="5">
        <v>45000</v>
      </c>
      <c r="H2" s="6">
        <v>37197</v>
      </c>
      <c r="I2" s="6">
        <v>42253</v>
      </c>
      <c r="J2" s="45" t="str">
        <f>CONCATENATE(Table10[[#This Row],[FirstName]],Table10[[#This Row],[LastName]],Table10[[#This Row],[Column1]])</f>
        <v>JimHalpert001</v>
      </c>
      <c r="K2" s="44" t="str">
        <f>RIGHT(Table10[[#This Row],[EmployeeID]],3)</f>
        <v>001</v>
      </c>
      <c r="L2" s="44" t="str">
        <f>CONCATENATE(Table10[[#This Row],[FirstName]],Table10[[#This Row],[LastName]],Table10[[#This Row],[Column1]],"@nrlbhilai.com")</f>
        <v>JimHalpert001@nrlbhilai.com</v>
      </c>
    </row>
    <row r="3" spans="1:12" x14ac:dyDescent="0.25">
      <c r="A3" s="3">
        <v>1002</v>
      </c>
      <c r="B3" s="4" t="s">
        <v>4</v>
      </c>
      <c r="C3" s="4" t="s">
        <v>5</v>
      </c>
      <c r="D3" s="4">
        <v>30</v>
      </c>
      <c r="E3" s="4" t="s">
        <v>28</v>
      </c>
      <c r="F3" s="4" t="s">
        <v>27</v>
      </c>
      <c r="G3" s="5">
        <v>36000</v>
      </c>
      <c r="H3" s="6">
        <v>36436</v>
      </c>
      <c r="I3" s="6">
        <v>42287</v>
      </c>
      <c r="J3" s="45" t="str">
        <f>CONCATENATE(Table10[[#This Row],[FirstName]],Table10[[#This Row],[LastName]],Table10[[#This Row],[Column1]])</f>
        <v>PamBeasley002</v>
      </c>
      <c r="K3" s="45" t="str">
        <f>RIGHT(Table10[[#This Row],[EmployeeID]],3)</f>
        <v>002</v>
      </c>
      <c r="L3" s="45" t="str">
        <f>CONCATENATE(Table10[[#This Row],[FirstName]],Table10[[#This Row],[LastName]],Table10[[#This Row],[Column1]],"@nrlbhilai.com")</f>
        <v>PamBeasley002@nrlbhilai.com</v>
      </c>
    </row>
    <row r="4" spans="1:12" x14ac:dyDescent="0.25">
      <c r="A4" s="3">
        <v>1003</v>
      </c>
      <c r="B4" s="4" t="s">
        <v>6</v>
      </c>
      <c r="C4" s="4" t="s">
        <v>7</v>
      </c>
      <c r="D4" s="4">
        <v>29</v>
      </c>
      <c r="E4" s="4" t="s">
        <v>26</v>
      </c>
      <c r="F4" s="4" t="s">
        <v>25</v>
      </c>
      <c r="G4" s="5">
        <v>63000</v>
      </c>
      <c r="H4" s="6">
        <v>36711</v>
      </c>
      <c r="I4" s="6">
        <v>42986</v>
      </c>
      <c r="J4" s="45" t="str">
        <f>CONCATENATE(Table10[[#This Row],[FirstName]],Table10[[#This Row],[LastName]],Table10[[#This Row],[Column1]])</f>
        <v>DwightSchrute003</v>
      </c>
      <c r="K4" s="45" t="str">
        <f>RIGHT(Table10[[#This Row],[EmployeeID]],3)</f>
        <v>003</v>
      </c>
      <c r="L4" s="45" t="str">
        <f>CONCATENATE(Table10[[#This Row],[FirstName]],Table10[[#This Row],[LastName]],Table10[[#This Row],[Column1]],"@nrlbhilai.com")</f>
        <v>DwightSchrute003@nrlbhilai.com</v>
      </c>
    </row>
    <row r="5" spans="1:12" x14ac:dyDescent="0.25">
      <c r="A5" s="3">
        <v>1004</v>
      </c>
      <c r="B5" s="4" t="s">
        <v>13</v>
      </c>
      <c r="C5" s="4" t="s">
        <v>12</v>
      </c>
      <c r="D5" s="4">
        <v>31</v>
      </c>
      <c r="E5" s="4" t="s">
        <v>28</v>
      </c>
      <c r="F5" s="4" t="s">
        <v>29</v>
      </c>
      <c r="G5" s="5">
        <v>47000</v>
      </c>
      <c r="H5" s="6">
        <v>36530</v>
      </c>
      <c r="I5" s="6">
        <v>42341</v>
      </c>
      <c r="J5" s="45" t="str">
        <f>CONCATENATE(Table10[[#This Row],[FirstName]],Table10[[#This Row],[LastName]],Table10[[#This Row],[Column1]])</f>
        <v>AngelaMartin004</v>
      </c>
      <c r="K5" s="45" t="str">
        <f>RIGHT(Table10[[#This Row],[EmployeeID]],3)</f>
        <v>004</v>
      </c>
      <c r="L5" s="45" t="str">
        <f>CONCATENATE(Table10[[#This Row],[FirstName]],Table10[[#This Row],[LastName]],Table10[[#This Row],[Column1]],"@nrlbhilai.com")</f>
        <v>AngelaMartin004@nrlbhilai.com</v>
      </c>
    </row>
    <row r="6" spans="1:12" x14ac:dyDescent="0.25">
      <c r="A6" s="3">
        <v>1005</v>
      </c>
      <c r="B6" s="4" t="s">
        <v>14</v>
      </c>
      <c r="C6" s="4" t="s">
        <v>15</v>
      </c>
      <c r="D6" s="4">
        <v>32</v>
      </c>
      <c r="E6" s="4" t="s">
        <v>26</v>
      </c>
      <c r="F6" s="4" t="s">
        <v>30</v>
      </c>
      <c r="G6" s="5">
        <v>50000</v>
      </c>
      <c r="H6" s="6">
        <v>37017</v>
      </c>
      <c r="I6" s="6">
        <v>42977</v>
      </c>
      <c r="J6" s="45" t="str">
        <f>CONCATENATE(Table10[[#This Row],[FirstName]],Table10[[#This Row],[LastName]],Table10[[#This Row],[Column1]])</f>
        <v>TobyFlenderson005</v>
      </c>
      <c r="K6" s="45" t="str">
        <f>RIGHT(Table10[[#This Row],[EmployeeID]],3)</f>
        <v>005</v>
      </c>
      <c r="L6" s="45" t="str">
        <f>CONCATENATE(Table10[[#This Row],[FirstName]],Table10[[#This Row],[LastName]],Table10[[#This Row],[Column1]],"@nrlbhilai.com")</f>
        <v>TobyFlenderson005@nrlbhilai.com</v>
      </c>
    </row>
    <row r="7" spans="1:12" x14ac:dyDescent="0.25">
      <c r="A7" s="3">
        <v>1006</v>
      </c>
      <c r="B7" s="4" t="s">
        <v>8</v>
      </c>
      <c r="C7" s="4" t="s">
        <v>9</v>
      </c>
      <c r="D7" s="4">
        <v>35</v>
      </c>
      <c r="E7" s="4" t="s">
        <v>26</v>
      </c>
      <c r="F7" s="4" t="s">
        <v>31</v>
      </c>
      <c r="G7" s="5">
        <v>65000</v>
      </c>
      <c r="H7" s="6">
        <v>35040</v>
      </c>
      <c r="I7" s="6">
        <v>41528</v>
      </c>
      <c r="J7" s="45" t="str">
        <f>CONCATENATE(Table10[[#This Row],[FirstName]],Table10[[#This Row],[LastName]],Table10[[#This Row],[Column1]])</f>
        <v>MichaelScott006</v>
      </c>
      <c r="K7" s="45" t="str">
        <f>RIGHT(Table10[[#This Row],[EmployeeID]],3)</f>
        <v>006</v>
      </c>
      <c r="L7" s="45" t="str">
        <f>CONCATENATE(Table10[[#This Row],[FirstName]],Table10[[#This Row],[LastName]],Table10[[#This Row],[Column1]],"@nrlbhilai.com")</f>
        <v>MichaelScott006@nrlbhilai.com</v>
      </c>
    </row>
    <row r="8" spans="1:12" x14ac:dyDescent="0.25">
      <c r="A8" s="3">
        <v>1007</v>
      </c>
      <c r="B8" s="4" t="s">
        <v>33</v>
      </c>
      <c r="C8" s="4" t="s">
        <v>34</v>
      </c>
      <c r="D8" s="4">
        <v>32</v>
      </c>
      <c r="E8" s="4" t="s">
        <v>28</v>
      </c>
      <c r="F8" s="4" t="s">
        <v>32</v>
      </c>
      <c r="G8" s="5">
        <v>41000</v>
      </c>
      <c r="H8" s="6">
        <v>37933</v>
      </c>
      <c r="I8" s="6">
        <v>41551</v>
      </c>
      <c r="J8" s="45" t="str">
        <f>CONCATENATE(Table10[[#This Row],[FirstName]],Table10[[#This Row],[LastName]],Table10[[#This Row],[Column1]])</f>
        <v>MeredithPalmer007</v>
      </c>
      <c r="K8" s="45" t="str">
        <f>RIGHT(Table10[[#This Row],[EmployeeID]],3)</f>
        <v>007</v>
      </c>
      <c r="L8" s="45" t="str">
        <f>CONCATENATE(Table10[[#This Row],[FirstName]],Table10[[#This Row],[LastName]],Table10[[#This Row],[Column1]],"@nrlbhilai.com")</f>
        <v>MeredithPalmer007@nrlbhilai.com</v>
      </c>
    </row>
    <row r="9" spans="1:12" x14ac:dyDescent="0.25">
      <c r="A9" s="3">
        <v>1008</v>
      </c>
      <c r="B9" s="4" t="s">
        <v>16</v>
      </c>
      <c r="C9" s="4" t="s">
        <v>17</v>
      </c>
      <c r="D9" s="4">
        <v>38</v>
      </c>
      <c r="E9" s="4" t="s">
        <v>26</v>
      </c>
      <c r="F9" s="4" t="s">
        <v>25</v>
      </c>
      <c r="G9" s="5">
        <v>48000</v>
      </c>
      <c r="H9" s="6">
        <v>37416</v>
      </c>
      <c r="I9" s="6">
        <v>42116</v>
      </c>
      <c r="J9" s="45" t="str">
        <f>CONCATENATE(Table10[[#This Row],[FirstName]],Table10[[#This Row],[LastName]],Table10[[#This Row],[Column1]])</f>
        <v>StanleyHudson008</v>
      </c>
      <c r="K9" s="45" t="str">
        <f>RIGHT(Table10[[#This Row],[EmployeeID]],3)</f>
        <v>008</v>
      </c>
      <c r="L9" s="45" t="str">
        <f>CONCATENATE(Table10[[#This Row],[FirstName]],Table10[[#This Row],[LastName]],Table10[[#This Row],[Column1]],"@nrlbhilai.com")</f>
        <v>StanleyHudson008@nrlbhilai.com</v>
      </c>
    </row>
    <row r="10" spans="1:12" x14ac:dyDescent="0.25">
      <c r="A10" s="8">
        <v>1009</v>
      </c>
      <c r="B10" s="9" t="s">
        <v>10</v>
      </c>
      <c r="C10" s="9" t="s">
        <v>11</v>
      </c>
      <c r="D10" s="9">
        <v>31</v>
      </c>
      <c r="E10" s="9" t="s">
        <v>26</v>
      </c>
      <c r="F10" s="9" t="s">
        <v>29</v>
      </c>
      <c r="G10" s="10">
        <v>42000</v>
      </c>
      <c r="H10" s="11">
        <v>37843</v>
      </c>
      <c r="I10" s="11">
        <v>40800</v>
      </c>
      <c r="J10" s="43" t="str">
        <f>CONCATENATE(Table10[[#This Row],[FirstName]],Table10[[#This Row],[LastName]],Table10[[#This Row],[Column1]])</f>
        <v>KevinMalone009</v>
      </c>
      <c r="K10" s="43" t="str">
        <f>RIGHT(Table10[[#This Row],[EmployeeID]],3)</f>
        <v>009</v>
      </c>
      <c r="L10" s="43" t="str">
        <f>CONCATENATE(Table10[[#This Row],[FirstName]],Table10[[#This Row],[LastName]],Table10[[#This Row],[Column1]],"@nrlbhilai.com")</f>
        <v>KevinMalone009@nrlbhilai.com</v>
      </c>
    </row>
    <row r="11" spans="1:12" x14ac:dyDescent="0.25">
      <c r="H11" t="str">
        <f>CONCATENATE(B11," ",C11)</f>
        <v xml:space="preserve"> </v>
      </c>
    </row>
    <row r="12" spans="1:12" x14ac:dyDescent="0.25">
      <c r="H12" t="str">
        <f>CONCATENATE(B12," ",C12)</f>
        <v xml:space="preserve"> </v>
      </c>
    </row>
    <row r="13" spans="1:12" x14ac:dyDescent="0.25">
      <c r="D13" t="s">
        <v>106</v>
      </c>
    </row>
    <row r="15" spans="1:12" x14ac:dyDescent="0.25">
      <c r="D15" t="s">
        <v>18</v>
      </c>
    </row>
    <row r="16" spans="1:12" x14ac:dyDescent="0.25">
      <c r="D16" t="s">
        <v>103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C5D0-EC67-4288-8B29-30C6E5CFEE73}">
  <sheetPr codeName="Sheet8">
    <tabColor theme="7" tint="-0.499984740745262"/>
  </sheetPr>
  <dimension ref="A1:L23"/>
  <sheetViews>
    <sheetView workbookViewId="0">
      <selection activeCell="B5" sqref="B5"/>
    </sheetView>
  </sheetViews>
  <sheetFormatPr defaultColWidth="13" defaultRowHeight="15" x14ac:dyDescent="0.25"/>
  <cols>
    <col min="1" max="1" width="13.85546875" customWidth="1"/>
    <col min="2" max="2" width="27" customWidth="1"/>
  </cols>
  <sheetData>
    <row r="1" spans="1:12" x14ac:dyDescent="0.25">
      <c r="A1" s="69" t="s">
        <v>20</v>
      </c>
      <c r="B1" s="34" t="s">
        <v>0</v>
      </c>
      <c r="C1" s="34" t="s">
        <v>1</v>
      </c>
      <c r="D1" s="34" t="s">
        <v>23</v>
      </c>
      <c r="E1" s="34" t="s">
        <v>24</v>
      </c>
      <c r="F1" s="34" t="s">
        <v>21</v>
      </c>
      <c r="G1" s="35" t="s">
        <v>22</v>
      </c>
      <c r="H1" s="34" t="s">
        <v>36</v>
      </c>
      <c r="I1" s="34" t="s">
        <v>37</v>
      </c>
    </row>
    <row r="2" spans="1:12" x14ac:dyDescent="0.25">
      <c r="A2" s="3">
        <v>1001</v>
      </c>
      <c r="B2" s="4" t="s">
        <v>2</v>
      </c>
      <c r="C2" s="4" t="s">
        <v>3</v>
      </c>
      <c r="D2" s="4">
        <v>30</v>
      </c>
      <c r="E2" s="4" t="s">
        <v>26</v>
      </c>
      <c r="F2" s="4" t="s">
        <v>25</v>
      </c>
      <c r="G2" s="56">
        <v>45000</v>
      </c>
      <c r="H2" s="6">
        <v>37197</v>
      </c>
      <c r="I2" s="6">
        <v>42253</v>
      </c>
    </row>
    <row r="3" spans="1:12" x14ac:dyDescent="0.25">
      <c r="A3" s="3">
        <v>1002</v>
      </c>
      <c r="B3" s="4" t="s">
        <v>4</v>
      </c>
      <c r="C3" s="4" t="s">
        <v>5</v>
      </c>
      <c r="D3" s="4">
        <v>30</v>
      </c>
      <c r="E3" s="4" t="s">
        <v>28</v>
      </c>
      <c r="F3" s="4" t="s">
        <v>27</v>
      </c>
      <c r="G3" s="56">
        <v>36000</v>
      </c>
      <c r="H3" s="6">
        <v>36436</v>
      </c>
      <c r="I3" s="6">
        <v>42287</v>
      </c>
    </row>
    <row r="4" spans="1:12" x14ac:dyDescent="0.25">
      <c r="A4" s="3">
        <v>1003</v>
      </c>
      <c r="B4" s="4" t="s">
        <v>6</v>
      </c>
      <c r="C4" s="4" t="s">
        <v>7</v>
      </c>
      <c r="D4" s="4">
        <v>29</v>
      </c>
      <c r="E4" s="4" t="s">
        <v>26</v>
      </c>
      <c r="F4" s="4" t="s">
        <v>25</v>
      </c>
      <c r="G4" s="56">
        <v>63000</v>
      </c>
      <c r="H4" s="6">
        <v>36711</v>
      </c>
      <c r="I4" s="6">
        <v>42986</v>
      </c>
    </row>
    <row r="5" spans="1:12" x14ac:dyDescent="0.25">
      <c r="A5" s="3">
        <v>1004</v>
      </c>
      <c r="B5" s="4" t="s">
        <v>13</v>
      </c>
      <c r="C5" s="4" t="s">
        <v>12</v>
      </c>
      <c r="D5" s="4">
        <v>31</v>
      </c>
      <c r="E5" s="4" t="s">
        <v>28</v>
      </c>
      <c r="F5" s="4" t="s">
        <v>29</v>
      </c>
      <c r="G5" s="56">
        <v>47000</v>
      </c>
      <c r="H5" s="6">
        <v>36530</v>
      </c>
      <c r="I5" s="6">
        <v>42341</v>
      </c>
    </row>
    <row r="6" spans="1:12" x14ac:dyDescent="0.25">
      <c r="A6" s="3">
        <v>1005</v>
      </c>
      <c r="B6" s="4" t="s">
        <v>14</v>
      </c>
      <c r="C6" s="4" t="s">
        <v>15</v>
      </c>
      <c r="D6" s="4">
        <v>32</v>
      </c>
      <c r="E6" s="4" t="s">
        <v>26</v>
      </c>
      <c r="F6" s="4" t="s">
        <v>30</v>
      </c>
      <c r="G6" s="56">
        <v>50000</v>
      </c>
      <c r="H6" s="6">
        <v>37017</v>
      </c>
      <c r="I6" s="6">
        <v>42977</v>
      </c>
    </row>
    <row r="7" spans="1:12" x14ac:dyDescent="0.25">
      <c r="A7" s="3">
        <v>1006</v>
      </c>
      <c r="B7" s="4" t="s">
        <v>8</v>
      </c>
      <c r="C7" s="4" t="s">
        <v>9</v>
      </c>
      <c r="D7" s="4">
        <v>35</v>
      </c>
      <c r="E7" s="4" t="s">
        <v>26</v>
      </c>
      <c r="F7" s="4" t="s">
        <v>31</v>
      </c>
      <c r="G7" s="56">
        <v>65000</v>
      </c>
      <c r="H7" s="6">
        <v>35040</v>
      </c>
      <c r="I7" s="6">
        <v>41528</v>
      </c>
    </row>
    <row r="8" spans="1:12" x14ac:dyDescent="0.25">
      <c r="A8" s="3">
        <v>1007</v>
      </c>
      <c r="B8" s="4" t="s">
        <v>33</v>
      </c>
      <c r="C8" s="4" t="s">
        <v>34</v>
      </c>
      <c r="D8" s="4">
        <v>32</v>
      </c>
      <c r="E8" s="4" t="s">
        <v>28</v>
      </c>
      <c r="F8" s="4" t="s">
        <v>32</v>
      </c>
      <c r="G8" s="56">
        <v>41000</v>
      </c>
      <c r="H8" s="6">
        <v>37933</v>
      </c>
      <c r="I8" s="6">
        <v>41551</v>
      </c>
    </row>
    <row r="9" spans="1:12" x14ac:dyDescent="0.25">
      <c r="A9" s="3">
        <v>1008</v>
      </c>
      <c r="B9" s="4" t="s">
        <v>16</v>
      </c>
      <c r="C9" s="4" t="s">
        <v>17</v>
      </c>
      <c r="D9" s="4">
        <v>38</v>
      </c>
      <c r="E9" s="4" t="s">
        <v>26</v>
      </c>
      <c r="F9" s="4" t="s">
        <v>25</v>
      </c>
      <c r="G9" s="56">
        <v>48000</v>
      </c>
      <c r="H9" s="6">
        <v>37416</v>
      </c>
      <c r="I9" s="6">
        <v>42116</v>
      </c>
    </row>
    <row r="10" spans="1:12" x14ac:dyDescent="0.25">
      <c r="A10" s="8">
        <v>1009</v>
      </c>
      <c r="B10" s="9" t="s">
        <v>10</v>
      </c>
      <c r="C10" s="9" t="s">
        <v>11</v>
      </c>
      <c r="D10" s="9">
        <v>31</v>
      </c>
      <c r="E10" s="9" t="s">
        <v>26</v>
      </c>
      <c r="F10" s="9" t="s">
        <v>29</v>
      </c>
      <c r="G10" s="57">
        <v>42000</v>
      </c>
      <c r="H10" s="11">
        <v>37843</v>
      </c>
      <c r="I10" s="11">
        <v>40800</v>
      </c>
    </row>
    <row r="13" spans="1:12" x14ac:dyDescent="0.25">
      <c r="B13" s="58" t="s">
        <v>107</v>
      </c>
      <c r="C13" s="66">
        <f>SUM(Table11[Salary])</f>
        <v>437000</v>
      </c>
    </row>
    <row r="14" spans="1:12" x14ac:dyDescent="0.25">
      <c r="B14" s="59" t="s">
        <v>108</v>
      </c>
      <c r="C14" s="66">
        <f>SUMIF(Table11[Salary],"&gt; $50000")</f>
        <v>128000</v>
      </c>
      <c r="D14" s="62" t="s">
        <v>110</v>
      </c>
      <c r="E14" s="67" t="s">
        <v>111</v>
      </c>
      <c r="F14" s="67"/>
      <c r="G14" s="67"/>
      <c r="L14" s="54"/>
    </row>
    <row r="15" spans="1:12" x14ac:dyDescent="0.25">
      <c r="B15" s="60" t="s">
        <v>109</v>
      </c>
      <c r="C15" s="66">
        <f>SUMIFS(Table11[Salary], Table11[Salary], "&lt;50000", Table11[Gender], "Female", Table11[Age], "&gt;30")</f>
        <v>88000</v>
      </c>
      <c r="D15" s="61" t="s">
        <v>110</v>
      </c>
      <c r="E15" s="68" t="s">
        <v>114</v>
      </c>
      <c r="F15" s="68"/>
      <c r="G15" s="68"/>
      <c r="H15" s="68"/>
      <c r="I15" s="68"/>
      <c r="J15" s="68"/>
      <c r="K15" s="68"/>
      <c r="L15" s="68"/>
    </row>
    <row r="16" spans="1:12" x14ac:dyDescent="0.25">
      <c r="D16" s="52"/>
      <c r="L16" s="53"/>
    </row>
    <row r="17" spans="4:12" x14ac:dyDescent="0.25">
      <c r="D17" s="52"/>
      <c r="F17" s="63" t="s">
        <v>112</v>
      </c>
      <c r="L17" s="53"/>
    </row>
    <row r="18" spans="4:12" x14ac:dyDescent="0.25">
      <c r="D18" s="44"/>
      <c r="E18" s="54"/>
      <c r="F18" s="64" t="s">
        <v>113</v>
      </c>
      <c r="G18" s="54"/>
      <c r="H18" s="54"/>
      <c r="I18" s="54"/>
      <c r="J18" s="54"/>
      <c r="K18" s="54"/>
      <c r="L18" s="33"/>
    </row>
    <row r="23" spans="4:12" x14ac:dyDescent="0.25">
      <c r="F23" s="65"/>
    </row>
  </sheetData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7F6E-9452-40AF-AFA2-377600A25F44}">
  <sheetPr codeName="Sheet9">
    <tabColor theme="5" tint="-0.249977111117893"/>
  </sheetPr>
  <dimension ref="A1:I15"/>
  <sheetViews>
    <sheetView zoomScale="115" zoomScaleNormal="115" workbookViewId="0">
      <selection activeCell="H15" sqref="H15"/>
    </sheetView>
  </sheetViews>
  <sheetFormatPr defaultColWidth="13.7109375" defaultRowHeight="15" x14ac:dyDescent="0.25"/>
  <cols>
    <col min="1" max="1" width="12.85546875" customWidth="1"/>
    <col min="4" max="4" width="7.7109375" customWidth="1"/>
  </cols>
  <sheetData>
    <row r="1" spans="1:9" x14ac:dyDescent="0.25">
      <c r="A1" s="70" t="s">
        <v>20</v>
      </c>
      <c r="B1" s="71" t="s">
        <v>0</v>
      </c>
      <c r="C1" s="71" t="s">
        <v>1</v>
      </c>
      <c r="D1" s="71" t="s">
        <v>23</v>
      </c>
      <c r="E1" s="71" t="s">
        <v>24</v>
      </c>
      <c r="F1" s="71" t="s">
        <v>21</v>
      </c>
      <c r="G1" s="71" t="s">
        <v>22</v>
      </c>
      <c r="H1" s="71" t="s">
        <v>36</v>
      </c>
      <c r="I1" s="72" t="s">
        <v>37</v>
      </c>
    </row>
    <row r="2" spans="1:9" x14ac:dyDescent="0.25">
      <c r="A2" s="3">
        <v>1001</v>
      </c>
      <c r="B2" s="4" t="s">
        <v>2</v>
      </c>
      <c r="C2" s="4" t="s">
        <v>3</v>
      </c>
      <c r="D2" s="4">
        <v>30</v>
      </c>
      <c r="E2" s="4" t="s">
        <v>26</v>
      </c>
      <c r="F2" s="4" t="s">
        <v>25</v>
      </c>
      <c r="G2" s="4">
        <v>45000</v>
      </c>
      <c r="H2" s="6">
        <v>37197</v>
      </c>
      <c r="I2" s="7">
        <v>42253</v>
      </c>
    </row>
    <row r="3" spans="1:9" x14ac:dyDescent="0.25">
      <c r="A3" s="3">
        <v>1002</v>
      </c>
      <c r="B3" s="4" t="s">
        <v>4</v>
      </c>
      <c r="C3" s="4" t="s">
        <v>5</v>
      </c>
      <c r="D3" s="4">
        <v>30</v>
      </c>
      <c r="E3" s="4" t="s">
        <v>28</v>
      </c>
      <c r="F3" s="4" t="s">
        <v>27</v>
      </c>
      <c r="G3" s="4">
        <v>36000</v>
      </c>
      <c r="H3" s="6">
        <v>36436</v>
      </c>
      <c r="I3" s="7">
        <v>42287</v>
      </c>
    </row>
    <row r="4" spans="1:9" x14ac:dyDescent="0.25">
      <c r="A4" s="3">
        <v>1003</v>
      </c>
      <c r="B4" s="4" t="s">
        <v>6</v>
      </c>
      <c r="C4" s="4" t="s">
        <v>7</v>
      </c>
      <c r="D4" s="4">
        <v>29</v>
      </c>
      <c r="E4" s="4" t="s">
        <v>26</v>
      </c>
      <c r="F4" s="4" t="s">
        <v>25</v>
      </c>
      <c r="G4" s="4">
        <v>63000</v>
      </c>
      <c r="H4" s="6">
        <v>36711</v>
      </c>
      <c r="I4" s="7">
        <v>42986</v>
      </c>
    </row>
    <row r="5" spans="1:9" x14ac:dyDescent="0.25">
      <c r="A5" s="3">
        <v>1004</v>
      </c>
      <c r="B5" s="4" t="s">
        <v>13</v>
      </c>
      <c r="C5" s="4" t="s">
        <v>12</v>
      </c>
      <c r="D5" s="4">
        <v>31</v>
      </c>
      <c r="E5" s="4" t="s">
        <v>28</v>
      </c>
      <c r="F5" s="4" t="s">
        <v>29</v>
      </c>
      <c r="G5" s="4">
        <v>47000</v>
      </c>
      <c r="H5" s="6">
        <v>36530</v>
      </c>
      <c r="I5" s="7">
        <v>42341</v>
      </c>
    </row>
    <row r="6" spans="1:9" x14ac:dyDescent="0.25">
      <c r="A6" s="3">
        <v>1005</v>
      </c>
      <c r="B6" s="4" t="s">
        <v>14</v>
      </c>
      <c r="C6" s="4" t="s">
        <v>15</v>
      </c>
      <c r="D6" s="4">
        <v>32</v>
      </c>
      <c r="E6" s="4" t="s">
        <v>26</v>
      </c>
      <c r="F6" s="4" t="s">
        <v>30</v>
      </c>
      <c r="G6" s="4">
        <v>50000</v>
      </c>
      <c r="H6" s="6">
        <v>37017</v>
      </c>
      <c r="I6" s="7">
        <v>42977</v>
      </c>
    </row>
    <row r="7" spans="1:9" x14ac:dyDescent="0.25">
      <c r="A7" s="3">
        <v>1006</v>
      </c>
      <c r="B7" s="4" t="s">
        <v>8</v>
      </c>
      <c r="C7" s="4" t="s">
        <v>9</v>
      </c>
      <c r="D7" s="4">
        <v>35</v>
      </c>
      <c r="E7" s="4" t="s">
        <v>26</v>
      </c>
      <c r="F7" s="4" t="s">
        <v>31</v>
      </c>
      <c r="G7" s="4">
        <v>65000</v>
      </c>
      <c r="H7" s="6">
        <v>35040</v>
      </c>
      <c r="I7" s="7">
        <v>41528</v>
      </c>
    </row>
    <row r="8" spans="1:9" x14ac:dyDescent="0.25">
      <c r="A8" s="3">
        <v>1007</v>
      </c>
      <c r="B8" s="4" t="s">
        <v>33</v>
      </c>
      <c r="C8" s="4" t="s">
        <v>34</v>
      </c>
      <c r="D8" s="4">
        <v>32</v>
      </c>
      <c r="E8" s="4" t="s">
        <v>28</v>
      </c>
      <c r="F8" s="4" t="s">
        <v>32</v>
      </c>
      <c r="G8" s="4">
        <v>41000</v>
      </c>
      <c r="H8" s="6">
        <v>37933</v>
      </c>
      <c r="I8" s="7">
        <v>41551</v>
      </c>
    </row>
    <row r="9" spans="1:9" x14ac:dyDescent="0.25">
      <c r="A9" s="3">
        <v>1008</v>
      </c>
      <c r="B9" s="4" t="s">
        <v>16</v>
      </c>
      <c r="C9" s="4" t="s">
        <v>17</v>
      </c>
      <c r="D9" s="4">
        <v>38</v>
      </c>
      <c r="E9" s="4" t="s">
        <v>26</v>
      </c>
      <c r="F9" s="4" t="s">
        <v>25</v>
      </c>
      <c r="G9" s="4">
        <v>48000</v>
      </c>
      <c r="H9" s="6">
        <v>37416</v>
      </c>
      <c r="I9" s="7">
        <v>42116</v>
      </c>
    </row>
    <row r="10" spans="1:9" x14ac:dyDescent="0.25">
      <c r="A10" s="8">
        <v>1009</v>
      </c>
      <c r="B10" s="9" t="s">
        <v>10</v>
      </c>
      <c r="C10" s="9" t="s">
        <v>11</v>
      </c>
      <c r="D10" s="9">
        <v>31</v>
      </c>
      <c r="E10" s="9" t="s">
        <v>26</v>
      </c>
      <c r="F10" s="9" t="s">
        <v>29</v>
      </c>
      <c r="G10" s="9">
        <v>42000</v>
      </c>
      <c r="H10" s="11">
        <v>37843</v>
      </c>
      <c r="I10" s="12">
        <v>40800</v>
      </c>
    </row>
    <row r="12" spans="1:9" ht="15.75" thickBot="1" x14ac:dyDescent="0.3"/>
    <row r="13" spans="1:9" x14ac:dyDescent="0.25">
      <c r="A13" s="106" t="s">
        <v>73</v>
      </c>
      <c r="B13" s="107" t="s">
        <v>74</v>
      </c>
      <c r="C13" s="108" t="s">
        <v>75</v>
      </c>
    </row>
    <row r="14" spans="1:9" ht="15.75" thickBot="1" x14ac:dyDescent="0.3">
      <c r="A14" s="109">
        <f>COUNT(G2:G10)</f>
        <v>9</v>
      </c>
      <c r="B14" s="110">
        <f>COUNTIF(E2:E10, "Female")</f>
        <v>3</v>
      </c>
      <c r="C14" s="111">
        <f>COUNTIFS(E2:E10, "Male", D2:D10, "&gt;30", G2:G10, "&gt;45000")</f>
        <v>3</v>
      </c>
    </row>
    <row r="15" spans="1:9" x14ac:dyDescent="0.25">
      <c r="E15" t="s">
        <v>115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CEFD-E950-4ACE-A7FD-83ED10CB531A}">
  <sheetPr codeName="Sheet11">
    <tabColor theme="8"/>
  </sheetPr>
  <dimension ref="A1:M20"/>
  <sheetViews>
    <sheetView topLeftCell="E1" zoomScale="145" zoomScaleNormal="145" workbookViewId="0">
      <selection activeCell="L9" sqref="L9"/>
    </sheetView>
  </sheetViews>
  <sheetFormatPr defaultRowHeight="15" x14ac:dyDescent="0.25"/>
  <cols>
    <col min="8" max="8" width="10.5703125" customWidth="1"/>
    <col min="9" max="9" width="13" customWidth="1"/>
    <col min="10" max="10" width="14.42578125" customWidth="1"/>
    <col min="11" max="11" width="13.28515625" customWidth="1"/>
    <col min="12" max="12" width="11.42578125" customWidth="1"/>
  </cols>
  <sheetData>
    <row r="1" spans="1:13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s="2" t="s">
        <v>36</v>
      </c>
      <c r="I1" s="2" t="s">
        <v>37</v>
      </c>
      <c r="J1" s="112" t="s">
        <v>122</v>
      </c>
      <c r="K1" s="112"/>
      <c r="L1" t="s">
        <v>78</v>
      </c>
      <c r="M1" t="s">
        <v>79</v>
      </c>
    </row>
    <row r="2" spans="1:13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13" t="s">
        <v>48</v>
      </c>
      <c r="I2" s="113" t="s">
        <v>56</v>
      </c>
      <c r="J2" s="1" cm="1">
        <f t="array" ref="J2:J10">DATEVALUE(I2:I10)</f>
        <v>42164</v>
      </c>
      <c r="K2" s="114"/>
      <c r="L2">
        <f>_xlfn.DAYS(I2,H2)</f>
        <v>5231</v>
      </c>
    </row>
    <row r="3" spans="1:13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13" t="s">
        <v>49</v>
      </c>
      <c r="I3" s="113" t="s">
        <v>57</v>
      </c>
      <c r="J3" s="113">
        <v>42287</v>
      </c>
      <c r="K3" s="114"/>
      <c r="L3">
        <f t="shared" ref="L3:L10" si="0">_xlfn.DAYS(I3,H3)</f>
        <v>6058</v>
      </c>
    </row>
    <row r="4" spans="1:13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13" t="s">
        <v>50</v>
      </c>
      <c r="I4" s="113" t="s">
        <v>58</v>
      </c>
      <c r="J4" s="113">
        <v>42956</v>
      </c>
      <c r="K4" s="114"/>
      <c r="L4">
        <f t="shared" si="0"/>
        <v>6333</v>
      </c>
    </row>
    <row r="5" spans="1:13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13" t="s">
        <v>51</v>
      </c>
      <c r="I5" s="113" t="s">
        <v>59</v>
      </c>
      <c r="J5" s="113">
        <v>42075</v>
      </c>
      <c r="K5" s="114"/>
      <c r="L5">
        <f t="shared" si="0"/>
        <v>5428</v>
      </c>
    </row>
    <row r="6" spans="1:13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13" t="s">
        <v>52</v>
      </c>
      <c r="I6" s="113" t="s">
        <v>121</v>
      </c>
      <c r="J6" s="113">
        <v>42977</v>
      </c>
      <c r="K6" s="114"/>
      <c r="L6">
        <f t="shared" si="0"/>
        <v>5930</v>
      </c>
    </row>
    <row r="7" spans="1:13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13" t="s">
        <v>52</v>
      </c>
      <c r="I7" s="113" t="s">
        <v>61</v>
      </c>
      <c r="J7" s="113">
        <v>41587</v>
      </c>
      <c r="K7" s="114"/>
      <c r="L7">
        <f t="shared" si="0"/>
        <v>4540</v>
      </c>
    </row>
    <row r="8" spans="1:13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13" t="s">
        <v>53</v>
      </c>
      <c r="I8" s="113" t="s">
        <v>61</v>
      </c>
      <c r="J8" s="113">
        <v>41587</v>
      </c>
      <c r="K8" s="114"/>
      <c r="L8">
        <f t="shared" si="0"/>
        <v>3743</v>
      </c>
    </row>
    <row r="9" spans="1:13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13" t="s">
        <v>54</v>
      </c>
      <c r="I9" s="113" t="s">
        <v>62</v>
      </c>
      <c r="J9" s="113" t="e">
        <v>#VALUE!</v>
      </c>
      <c r="K9" s="114"/>
      <c r="L9" t="e">
        <f t="shared" si="0"/>
        <v>#VALUE!</v>
      </c>
    </row>
    <row r="10" spans="1:13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13" t="s">
        <v>55</v>
      </c>
      <c r="I10" s="113" t="s">
        <v>62</v>
      </c>
      <c r="J10" s="113" t="e">
        <v>#VALUE!</v>
      </c>
      <c r="K10" s="114"/>
      <c r="L10" t="e">
        <f t="shared" si="0"/>
        <v>#VALUE!</v>
      </c>
    </row>
    <row r="12" spans="1:13" x14ac:dyDescent="0.25">
      <c r="H12" t="str" cm="1">
        <f t="array" ref="H12:H20">TRIM(I2:I10)</f>
        <v>9/6/2015</v>
      </c>
    </row>
    <row r="13" spans="1:13" x14ac:dyDescent="0.25">
      <c r="H13" t="str">
        <v>10/10/2015</v>
      </c>
    </row>
    <row r="14" spans="1:13" x14ac:dyDescent="0.25">
      <c r="H14" t="str">
        <v>9/8/2017</v>
      </c>
    </row>
    <row r="15" spans="1:13" x14ac:dyDescent="0.25">
      <c r="H15" t="str">
        <v>12/3/2015</v>
      </c>
    </row>
    <row r="16" spans="1:13" x14ac:dyDescent="0.25">
      <c r="H16" t="str">
        <v>30/08/2017</v>
      </c>
    </row>
    <row r="17" spans="8:8" x14ac:dyDescent="0.25">
      <c r="H17" t="str">
        <v>9/11/2013</v>
      </c>
    </row>
    <row r="18" spans="8:8" x14ac:dyDescent="0.25">
      <c r="H18" t="str">
        <v>9/11/2013</v>
      </c>
    </row>
    <row r="19" spans="8:8" x14ac:dyDescent="0.25">
      <c r="H19" t="str">
        <v>4/22/2015</v>
      </c>
    </row>
    <row r="20" spans="8:8" x14ac:dyDescent="0.25">
      <c r="H20" t="str">
        <v>4/22/2015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Max-Min</vt:lpstr>
      <vt:lpstr>IF-IFS</vt:lpstr>
      <vt:lpstr>Len</vt:lpstr>
      <vt:lpstr>LeftRight</vt:lpstr>
      <vt:lpstr>DateToText</vt:lpstr>
      <vt:lpstr>TRIM</vt:lpstr>
      <vt:lpstr>Substitute</vt:lpstr>
      <vt:lpstr>Concatenate</vt:lpstr>
      <vt:lpstr>SUM-SumIF</vt:lpstr>
      <vt:lpstr>Count-CountIF</vt:lpstr>
      <vt:lpstr>Days-NetworkDays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MD RASHID ALI HAIDER</cp:lastModifiedBy>
  <cp:lastPrinted>2026-06-12T03:28:26Z</cp:lastPrinted>
  <dcterms:created xsi:type="dcterms:W3CDTF">2021-12-16T14:18:34Z</dcterms:created>
  <dcterms:modified xsi:type="dcterms:W3CDTF">2026-06-14T06:57:45Z</dcterms:modified>
</cp:coreProperties>
</file>