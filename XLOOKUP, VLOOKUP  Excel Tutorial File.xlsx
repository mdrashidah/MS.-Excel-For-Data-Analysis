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85B92B3E-C31D-4246-A132-F7FA87A19FDF}" xr6:coauthVersionLast="47" xr6:coauthVersionMax="47" xr10:uidLastSave="{00000000-0000-0000-0000-000000000000}"/>
  <bookViews>
    <workbookView xWindow="-120" yWindow="-120" windowWidth="20730" windowHeight="11160" firstSheet="2" activeTab="2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8" l="1" a="1"/>
  <c r="B4" i="8" s="1"/>
  <c r="B3" i="6" a="1"/>
  <c r="B3" i="6" s="1"/>
  <c r="B3" i="2"/>
  <c r="B7" i="7"/>
  <c r="B3" i="7"/>
  <c r="B4" i="7"/>
  <c r="B2" i="7"/>
  <c r="B3" i="4"/>
  <c r="B4" i="4"/>
  <c r="B2" i="4"/>
  <c r="B5" i="9"/>
  <c r="B4" i="9"/>
  <c r="B3" i="9"/>
  <c r="B6" i="8" a="1"/>
  <c r="B6" i="8" s="1"/>
  <c r="B5" i="8" a="1"/>
  <c r="B5" i="8" s="1"/>
  <c r="B3" i="8" a="1"/>
  <c r="B3" i="8" s="1"/>
  <c r="B4" i="6" a="1"/>
  <c r="B4" i="6" s="1"/>
  <c r="B5" i="6" a="1"/>
  <c r="B5" i="6" s="1"/>
  <c r="B6" i="6" a="1"/>
  <c r="B6" i="6" s="1"/>
  <c r="B4" i="1" a="1"/>
  <c r="B4" i="1" s="1"/>
  <c r="B5" i="1" a="1"/>
  <c r="B5" i="1" s="1"/>
  <c r="B6" i="1" a="1"/>
  <c r="B6" i="1" s="1"/>
  <c r="B3" i="1" a="1"/>
  <c r="B3" i="1" s="1"/>
  <c r="I23" i="9"/>
  <c r="I22" i="9"/>
  <c r="G23" i="8"/>
  <c r="G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<sst xmlns="http://schemas.openxmlformats.org/spreadsheetml/2006/main" count="525" uniqueCount="133">
  <si>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</si>
  <si>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</si>
  <si>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</si>
  <si>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</si>
  <si>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</si>
  <si>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</si>
  <si>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</si>
  <si>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</si>
  <si>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</si>
  <si>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</si>
  <si>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</si>
  <si>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</si>
  <si>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</si>
  <si>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</si>
  <si>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</si>
  <si>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</si>
  <si>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</si>
  <si>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</si>
  <si>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</si>
  <si>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</si>
  <si>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</si>
  <si>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</si>
  <si>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</si>
  <si>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</si>
  <si>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</si>
  <si>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</si>
  <si>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</si>
  <si>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</si>
  <si>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</si>
  <si>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</si>
  <si>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</si>
  <si>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</si>
  <si>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</si>
  <si>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</si>
  <si>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</si>
  <si>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</si>
  <si>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</si>
  <si>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</si>
  <si>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</si>
  <si>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</si>
  <si>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</si>
  <si>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</si>
  <si>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</si>
  <si>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</si>
  <si>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</si>
  <si>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</si>
  <si>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</si>
  <si>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</si>
  <si>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</si>
  <si>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</si>
  <si>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</si>
  <si>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</si>
  <si>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</si>
  <si>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</si>
  <si>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</si>
  <si>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</si>
  <si>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</si>
  <si>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</si>
  <si>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</si>
  <si>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</si>
  <si>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</si>
  <si>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</si>
  <si>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</si>
  <si>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</si>
  <si>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</si>
  <si>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</si>
  <si>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</si>
  <si>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</si>
  <si>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</si>
  <si>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</si>
  <si>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</si>
  <si>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</si>
  <si>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</si>
  <si>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</si>
  <si>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</si>
  <si>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</si>
  <si>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</si>
  <si>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</si>
  <si>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</si>
  <si>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</si>
  <si>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</si>
  <si>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</si>
  <si>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</si>
  <si>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</si>
  <si>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</si>
  <si>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</si>
  <si>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</si>
  <si>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</si>
  <si>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</si>
  <si>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</si>
  <si>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</si>
  <si>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</si>
  <si>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it's main drawback is we can find 2 group column together like above end date and emails</t>
  </si>
  <si>
    <t>only if both of them are next to each other</t>
  </si>
  <si>
    <t>astric:</t>
  </si>
  <si>
    <t>&amp;"*" / "*"&amp;</t>
  </si>
  <si>
    <t>back  /  front</t>
  </si>
  <si>
    <t>use to by pass missing values</t>
  </si>
  <si>
    <t>📋 Quick Recall: Match Modes in Excel (XMATCH / XLOOKUP)</t>
  </si>
  <si>
    <t>Mode</t>
  </si>
  <si>
    <t>Name</t>
  </si>
  <si>
    <t>Behavior</t>
  </si>
  <si>
    <t>When to Use in Data Analysis</t>
  </si>
  <si>
    <t>Exact Match</t>
  </si>
  <si>
    <t>Exact or Next Larger</t>
  </si>
  <si>
    <t>Tax brackets, commission tiers, grade boundaries — "meets or exceeds" logic</t>
  </si>
  <si>
    <t>Exact or Next Smaller</t>
  </si>
  <si>
    <t>Reverse-tier tables, penalty thresholds, descending price lists</t>
  </si>
  <si>
    <t>Wildcard Match</t>
  </si>
  <si>
    <r>
      <t>Uses </t>
    </r>
    <r>
      <rPr>
        <sz val="10"/>
        <color theme="1"/>
        <rFont val="Consolas"/>
        <family val="3"/>
      </rPr>
      <t>*</t>
    </r>
    <r>
      <rPr>
        <sz val="11"/>
        <color theme="1"/>
        <rFont val="Segoe UI"/>
        <family val="2"/>
      </rPr>
      <t> (any chars) and </t>
    </r>
    <r>
      <rPr>
        <sz val="10"/>
        <color theme="1"/>
        <rFont val="Consolas"/>
        <family val="3"/>
      </rPr>
      <t>?</t>
    </r>
    <r>
      <rPr>
        <sz val="11"/>
        <color theme="1"/>
        <rFont val="Segoe UI"/>
        <family val="2"/>
      </rPr>
      <t> (single char) for partial matching</t>
    </r>
  </si>
  <si>
    <t>Regex Match</t>
  </si>
  <si>
    <t>Finding email formats, phone patterns, or complex text rules</t>
  </si>
  <si>
    <t>🧠 Memory Tricks</t>
  </si>
  <si>
    <t>Remember As</t>
  </si>
  <si>
    <r>
      <t>Zero = Exact hero</t>
    </r>
    <r>
      <rPr>
        <sz val="11"/>
        <color theme="1"/>
        <rFont val="Segoe UI"/>
        <family val="2"/>
      </rPr>
      <t> (no rounding, no approximation)</t>
    </r>
  </si>
  <si>
    <r>
      <t>One = Up</t>
    </r>
    <r>
      <rPr>
        <sz val="11"/>
        <color theme="1"/>
        <rFont val="Segoe UI"/>
        <family val="2"/>
      </rPr>
      <t> (go up to next larger value, like tier thresholds)</t>
    </r>
  </si>
  <si>
    <r>
      <t>Minus One = Down</t>
    </r>
    <r>
      <rPr>
        <sz val="11"/>
        <color theme="1"/>
        <rFont val="Segoe UI"/>
        <family val="2"/>
      </rPr>
      <t> (go down to next smaller value, like discounts)</t>
    </r>
  </si>
  <si>
    <r>
      <t>Two = Wildcard zoo</t>
    </r>
    <r>
      <rPr>
        <sz val="11"/>
        <color theme="1"/>
        <rFont val="Segoe UI"/>
        <family val="2"/>
      </rPr>
      <t> (animals, anything goes with *, ?, ~)</t>
    </r>
  </si>
  <si>
    <r>
      <t>Three = Regex free</t>
    </r>
    <r>
      <rPr>
        <sz val="11"/>
        <color theme="1"/>
        <rFont val="Segoe UI"/>
        <family val="2"/>
      </rPr>
      <t> (patterns on the loose)</t>
    </r>
  </si>
  <si>
    <t>⚡ One-Liner Summary (for ultra-quick recall)</t>
  </si>
  <si>
    <t>0 = exact</t>
  </si>
  <si>
    <r>
      <t>1 = next larger</t>
    </r>
    <r>
      <rPr>
        <sz val="12"/>
        <color rgb="FFF9FAFB"/>
        <rFont val="Segoe UI"/>
        <family val="2"/>
      </rPr>
      <t> (ascending data)</t>
    </r>
  </si>
  <si>
    <r>
      <t>-1 = next smaller</t>
    </r>
    <r>
      <rPr>
        <sz val="12"/>
        <color rgb="FFF9FAFB"/>
        <rFont val="Segoe UI"/>
        <family val="2"/>
      </rPr>
      <t> (descending data)</t>
    </r>
  </si>
  <si>
    <t>2 = wildcards</t>
  </si>
  <si>
    <t>3 = regex patterns</t>
  </si>
  <si>
    <t>Just copy the first table above into your notes, and you’ll have everything you need for quick recall during data analysis.</t>
  </si>
  <si>
    <r>
      <rPr>
        <sz val="11"/>
        <color rgb="FFFF0000"/>
        <rFont val="Segoe UI"/>
        <family val="2"/>
      </rPr>
      <t>Looking up exact</t>
    </r>
    <r>
      <rPr>
        <sz val="11"/>
        <color theme="1"/>
        <rFont val="Segoe UI"/>
        <family val="2"/>
      </rPr>
      <t xml:space="preserve"> IDs, product names, or dates in unsorted data</t>
    </r>
  </si>
  <si>
    <r>
      <t>Finds</t>
    </r>
    <r>
      <rPr>
        <sz val="11"/>
        <color rgb="FFFF0000"/>
        <rFont val="Segoe UI"/>
        <family val="2"/>
      </rPr>
      <t xml:space="preserve"> smallest value ≥ lookup value </t>
    </r>
    <r>
      <rPr>
        <sz val="11"/>
        <color theme="1"/>
        <rFont val="Segoe UI"/>
        <family val="2"/>
      </rPr>
      <t>(data must be sorted ascending)</t>
    </r>
  </si>
  <si>
    <r>
      <t>Finds</t>
    </r>
    <r>
      <rPr>
        <sz val="11"/>
        <color rgb="FFFF0000"/>
        <rFont val="Segoe UI"/>
        <family val="2"/>
      </rPr>
      <t xml:space="preserve"> largest value ≤ lookup value</t>
    </r>
    <r>
      <rPr>
        <sz val="11"/>
        <color theme="1"/>
        <rFont val="Segoe UI"/>
        <family val="2"/>
      </rPr>
      <t xml:space="preserve"> (data must be sorted descending)</t>
    </r>
  </si>
  <si>
    <r>
      <t xml:space="preserve">Finds first value </t>
    </r>
    <r>
      <rPr>
        <sz val="11"/>
        <color rgb="FFFF0000"/>
        <rFont val="Segoe UI"/>
        <family val="2"/>
      </rPr>
      <t>exactly equal to lookup value</t>
    </r>
  </si>
  <si>
    <r>
      <t xml:space="preserve">Searching messy text data like </t>
    </r>
    <r>
      <rPr>
        <sz val="11"/>
        <color rgb="FFFF0000"/>
        <rFont val="Segoe UI"/>
        <family val="2"/>
      </rPr>
      <t>"contains Smith" or "ends with Pro"</t>
    </r>
  </si>
  <si>
    <r>
      <t xml:space="preserve">Uses </t>
    </r>
    <r>
      <rPr>
        <sz val="11"/>
        <color rgb="FFFF0000"/>
        <rFont val="Segoe UI"/>
        <family val="2"/>
      </rPr>
      <t>Regular Expressions for pattern matching</t>
    </r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</si>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</sst>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F9FAFB"/>
      <name val="Segoe UI"/>
      <family val="2"/>
    </font>
    <font>
      <b/>
      <sz val="17"/>
      <color rgb="FFF9FAFB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Consolas"/>
      <family val="3"/>
    </font>
    <font>
      <sz val="12"/>
      <color rgb="FFF9FAFB"/>
      <name val="Segoe UI"/>
      <family val="2"/>
    </font>
    <font>
      <sz val="11"/>
      <color rgb="FFFF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5"/>
    </xf>
    <xf numFmtId="0" fontId="1" fillId="0" borderId="0" xfId="0" applyFont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0" xfId="0" applyFill="1"/>
    <xf numFmtId="0" fontId="0" fillId="0" borderId="0" xfId="0" applyFill="1" applyBorder="1"/>
    <xf numFmtId="0" fontId="0" fillId="0" borderId="0" xfId="0" applyFill="1"/>
    <xf numFmtId="0" fontId="0" fillId="5" borderId="0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0" xfId="0" applyFill="1"/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363614</xdr:colOff>
      <xdr:row>8</xdr:row>
      <xdr:rowOff>91740</xdr:rowOff>
    </xdr:from>
    <xdr:to>
      <xdr:col>0</xdr:col>
      <xdr:colOff>600494</xdr:colOff>
      <xdr:row>10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469EED-CB9D-B966-918E-BAA2DB8489F5}"/>
                </a:ext>
              </a:extLst>
            </xdr14:cNvPr>
            <xdr14:cNvContentPartPr/>
          </xdr14:nvContentPartPr>
          <xdr14:nvPr macro=""/>
          <xdr14:xfrm rot="5564906">
            <a:off x="323474" y="1655880"/>
            <a:ext cx="317160" cy="236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9469EED-CB9D-B966-918E-BAA2DB8489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8760" y="2485440"/>
              <a:ext cx="334800" cy="254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4T18:38:29.1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1 295 24575,'633'0'0,"-625"0"0,1 0 0,0-1 0,-1 0 0,1 0 0,-1 0 0,1-1 0,-1-1 0,16-5 0,-21 6 0,0 0 0,0 0 0,0-1 0,0 1 0,-1 0 0,1-1 0,-1 0 0,1 1 0,-1-1 0,0 0 0,0 0 0,0 0 0,0-1 0,-1 1 0,1 0 0,-1-1 0,0 1 0,0-1 0,0 1 0,-1-1 0,1 0 0,-1 1 0,0-6 0,0 2 0,0 0 0,0 0 0,-1 0 0,0 0 0,0 0 0,-1 0 0,0 0 0,0 0 0,-1 1 0,1-1 0,-2 1 0,1-1 0,-1 1 0,0 0 0,0 1 0,0-1 0,-1 1 0,0-1 0,0 2 0,0-1 0,-1 0 0,1 1 0,-9-5 0,0 2 0,0-1 0,0 2 0,-1 0 0,0 1 0,0 0 0,0 1 0,0 1 0,-1 0 0,-23 0 0,34 6 0,16 4 0,15 6 0,15 6 0,-1 2 0,58 40 0,-43-32 0,-44-24 0,0 0 0,0 1 0,16 11 0,-24-15 0,0 1 0,-1-1 0,1 1 0,0 0 0,-1 0 0,1 0 0,-1 0 0,0 1 0,0-1 0,-1 0 0,1 1 0,0 0 0,-1-1 0,0 1 0,1 5 0,1 22 0,-1 1 0,-1-1 0,-2 0 0,-1 0 0,-7 35 0,8-56 0,0-1 0,-1 0 0,0 0 0,-1 0 0,0 0 0,0 0 0,-1 0 0,0-1 0,0 0 0,-1 0 0,0 0 0,-1 0 0,0-1 0,0 0 0,0 0 0,-1 0 0,0-1 0,0 0 0,-13 7 0,-19 7-1365,22-13-5461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83C4B8-3697-4663-B6A8-71E68732DFE9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10" sqref="C10"/>
    </sheetView>
  </sheetViews>
  <sheetFormatPr defaultRowHeight="15" x14ac:dyDescent="0.25"/>
  <cols>
    <col min="1" max="1" width="16.42578125" customWidth="1"/>
    <col min="2" max="2" width="46.42578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_xlfn.XLOOKUP(A3,H2:H10,P2:Q10)</f>
        <v>Toby.Flenderson@DunderMifflinCorporate.com</v>
      </c>
      <c r="C3">
        <v>0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_xlfn.XLOOKUP(A4,H3:H11,P3:Q11)</f>
        <v>Pam.Beasley@DunderMifflin.com</v>
      </c>
      <c r="C4">
        <v>0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_xlfn.XLOOKUP(A5,H4:H12,P4:Q12)</f>
        <v>Meredith.Palmer@Yahoo.com</v>
      </c>
      <c r="C5">
        <v>0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_xlfn.XLOOKUP(A6,H5:H13,P5:Q13)</f>
        <v>Kevin.Malone@DunderMifflin.com</v>
      </c>
      <c r="C6">
        <v>0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3" sqref="B3"/>
    </sheetView>
  </sheetViews>
  <sheetFormatPr defaultRowHeight="15" x14ac:dyDescent="0.25"/>
  <cols>
    <col min="1" max="1" width="14.7109375" bestFit="1" customWidth="1"/>
    <col min="2" max="2" width="9.85546875" customWidth="1"/>
    <col min="3" max="3" width="44.7109375" customWidth="1"/>
    <col min="5" max="5" width="2.140625" style="14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D3">_xlfn.XLOOKUP(A3,I2:I10,O2:Q10)</f>
        <v>8/30/2017</v>
      </c>
      <c r="C3" t="str">
        <v>Toby.Flenderson@DunderMifflinCorporate.com</v>
      </c>
      <c r="D3">
        <v>0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D4">_xlfn.XLOOKUP(A4,I3:I11,O3:Q11)</f>
        <v>10/10/2015</v>
      </c>
      <c r="C4" t="str">
        <v>Pam.Beasley@DunderMifflin.com</v>
      </c>
      <c r="D4">
        <v>0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D5">_xlfn.XLOOKUP(A5,I4:I12,O4:Q12)</f>
        <v>9/11/2013</v>
      </c>
      <c r="C5" t="str">
        <v>Meredith.Palmer@Yahoo.com</v>
      </c>
      <c r="D5">
        <v>0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D6">_xlfn.XLOOKUP(A6,I5:I13,O5:Q13)</f>
        <v>4/22/2015</v>
      </c>
      <c r="C6" t="str">
        <v>Kevin.Malone@DunderMifflin.com</v>
      </c>
      <c r="D6">
        <v>0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12" spans="1:16" x14ac:dyDescent="0.25">
      <c r="A12" s="18" t="s">
        <v>92</v>
      </c>
      <c r="B12" s="19"/>
      <c r="C12" s="19"/>
      <c r="D12" s="19"/>
      <c r="E12" s="20"/>
    </row>
    <row r="13" spans="1:16" x14ac:dyDescent="0.25">
      <c r="B13" s="21" t="s">
        <v>93</v>
      </c>
      <c r="C13" s="22"/>
    </row>
    <row r="14" spans="1:16" x14ac:dyDescent="0.25">
      <c r="D14" s="15"/>
      <c r="E14" s="17"/>
      <c r="F14" s="15"/>
      <c r="G14" s="15"/>
    </row>
    <row r="16" spans="1:16" x14ac:dyDescent="0.25">
      <c r="C16" s="16"/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42"/>
  <sheetViews>
    <sheetView tabSelected="1"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7.5703125" customWidth="1"/>
    <col min="3" max="3" width="18.85546875" customWidth="1"/>
    <col min="4" max="4" width="17.7109375" customWidth="1"/>
    <col min="5" max="5" width="24" customWidth="1"/>
    <col min="6" max="6" width="19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s="13" t="s">
        <v>60</v>
      </c>
      <c r="B2" s="13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s="9" t="s">
        <v>86</v>
      </c>
      <c r="B3" s="9" t="str" cm="1">
        <f t="array" ref="B3">_xlfn.XLOOKUP(A3,H2:H10,N2:P10,"name not available")</f>
        <v>name not available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s="9" t="s">
        <v>18</v>
      </c>
      <c r="B4" s="9" t="str" cm="1">
        <f t="array" ref="B4:C4">_xlfn.XLOOKUP("*"&amp;A4,H2:H10,O2:P10, "not  available",2)</f>
        <v>Pam.Beasley@DunderMifflin.com</v>
      </c>
      <c r="C4">
        <v>0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s="9" t="s">
        <v>46</v>
      </c>
      <c r="B5" s="9" t="str" cm="1">
        <f t="array" ref="B5:C5">_xlfn.XLOOKUP(A5&amp;"*",H3:H11,O3:P11, "not  available",2)</f>
        <v>Meredith.Palmer@Yahoo.com</v>
      </c>
      <c r="C5">
        <v>0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s="9" t="s">
        <v>87</v>
      </c>
      <c r="B6" s="9" t="str" cm="1">
        <f t="array" ref="B6:C6">_xlfn.XLOOKUP(A6&amp;"*",H4:H12,O4:P12, "not  available",2)</f>
        <v>Kevin.Malone@DunderMifflin.com</v>
      </c>
      <c r="C6">
        <v>0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12" spans="1:15" x14ac:dyDescent="0.25">
      <c r="D12" s="11" t="s">
        <v>94</v>
      </c>
      <c r="E12" s="12" t="s">
        <v>95</v>
      </c>
    </row>
    <row r="13" spans="1:15" x14ac:dyDescent="0.25">
      <c r="D13" s="10"/>
      <c r="E13" s="13" t="s">
        <v>96</v>
      </c>
    </row>
    <row r="16" spans="1:15" x14ac:dyDescent="0.25">
      <c r="B16" t="s">
        <v>97</v>
      </c>
    </row>
    <row r="17" spans="2:7" ht="6" customHeight="1" x14ac:dyDescent="0.25"/>
    <row r="18" spans="2:7" hidden="1" x14ac:dyDescent="0.25"/>
    <row r="19" spans="2:7" ht="153" hidden="1" x14ac:dyDescent="0.25">
      <c r="B19" s="3" t="s">
        <v>98</v>
      </c>
    </row>
    <row r="20" spans="2:7" ht="62.25" customHeight="1" x14ac:dyDescent="0.25">
      <c r="B20" s="4" t="s">
        <v>99</v>
      </c>
      <c r="C20" s="4" t="s">
        <v>100</v>
      </c>
      <c r="D20" s="4" t="s">
        <v>101</v>
      </c>
      <c r="E20" s="4" t="s">
        <v>102</v>
      </c>
      <c r="F20" s="4" t="s">
        <v>113</v>
      </c>
    </row>
    <row r="21" spans="2:7" ht="69" customHeight="1" x14ac:dyDescent="0.25">
      <c r="B21" s="5">
        <v>0</v>
      </c>
      <c r="C21" s="6" t="s">
        <v>103</v>
      </c>
      <c r="D21" s="6" t="s">
        <v>129</v>
      </c>
      <c r="E21" s="6" t="s">
        <v>126</v>
      </c>
      <c r="F21" s="5" t="s">
        <v>114</v>
      </c>
    </row>
    <row r="22" spans="2:7" ht="80.25" customHeight="1" x14ac:dyDescent="0.25">
      <c r="B22" s="5">
        <v>1</v>
      </c>
      <c r="C22" s="6" t="s">
        <v>104</v>
      </c>
      <c r="D22" s="6" t="s">
        <v>127</v>
      </c>
      <c r="E22" s="6" t="s">
        <v>105</v>
      </c>
      <c r="F22" s="5" t="s">
        <v>115</v>
      </c>
      <c r="G22" t="str">
        <f t="shared" ref="G22:G23" si="0">CONCATENATE(F12," ",G12)</f>
        <v xml:space="preserve"> </v>
      </c>
    </row>
    <row r="23" spans="2:7" ht="76.5" customHeight="1" x14ac:dyDescent="0.25">
      <c r="B23" s="5">
        <v>-1</v>
      </c>
      <c r="C23" s="6" t="s">
        <v>106</v>
      </c>
      <c r="D23" s="6" t="s">
        <v>128</v>
      </c>
      <c r="E23" s="6" t="s">
        <v>107</v>
      </c>
      <c r="F23" s="5" t="s">
        <v>116</v>
      </c>
      <c r="G23" t="str">
        <f t="shared" si="0"/>
        <v xml:space="preserve"> </v>
      </c>
    </row>
    <row r="24" spans="2:7" ht="82.5" x14ac:dyDescent="0.25">
      <c r="B24" s="5">
        <v>2</v>
      </c>
      <c r="C24" s="6" t="s">
        <v>108</v>
      </c>
      <c r="D24" s="6" t="s">
        <v>109</v>
      </c>
      <c r="E24" s="6" t="s">
        <v>130</v>
      </c>
      <c r="F24" s="5" t="s">
        <v>117</v>
      </c>
    </row>
    <row r="25" spans="2:7" ht="66" customHeight="1" x14ac:dyDescent="0.25">
      <c r="B25" s="5">
        <v>3</v>
      </c>
      <c r="C25" s="6" t="s">
        <v>110</v>
      </c>
      <c r="D25" s="6" t="s">
        <v>131</v>
      </c>
      <c r="E25" s="6" t="s">
        <v>111</v>
      </c>
      <c r="F25" s="5" t="s">
        <v>118</v>
      </c>
    </row>
    <row r="27" spans="2:7" ht="76.5" x14ac:dyDescent="0.25">
      <c r="B27" s="3" t="s">
        <v>112</v>
      </c>
    </row>
    <row r="35" spans="2:2" ht="22.5" customHeight="1" x14ac:dyDescent="0.25">
      <c r="B35" s="3" t="s">
        <v>119</v>
      </c>
    </row>
    <row r="36" spans="2:2" ht="34.5" x14ac:dyDescent="0.25">
      <c r="B36" s="7" t="s">
        <v>120</v>
      </c>
    </row>
    <row r="37" spans="2:2" ht="120.75" x14ac:dyDescent="0.25">
      <c r="B37" s="7" t="s">
        <v>121</v>
      </c>
    </row>
    <row r="38" spans="2:2" ht="120.75" x14ac:dyDescent="0.25">
      <c r="B38" s="7" t="s">
        <v>122</v>
      </c>
    </row>
    <row r="39" spans="2:2" ht="51.75" x14ac:dyDescent="0.25">
      <c r="B39" s="7" t="s">
        <v>123</v>
      </c>
    </row>
    <row r="40" spans="2:2" ht="86.25" x14ac:dyDescent="0.25">
      <c r="B40" s="7" t="s">
        <v>124</v>
      </c>
    </row>
    <row r="42" spans="2:2" ht="207" x14ac:dyDescent="0.25">
      <c r="B42" s="8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D8" sqref="D8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6" max="6" width="9.42578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ht="61.5" customHeight="1" x14ac:dyDescent="0.25">
      <c r="F1" s="23" t="s">
        <v>132</v>
      </c>
      <c r="G1" s="23" t="s">
        <v>1</v>
      </c>
      <c r="H1" s="23" t="s">
        <v>2</v>
      </c>
      <c r="I1" s="23" t="s">
        <v>60</v>
      </c>
      <c r="J1" s="23" t="s">
        <v>3</v>
      </c>
      <c r="K1" s="23" t="s">
        <v>4</v>
      </c>
      <c r="L1" s="23" t="s">
        <v>5</v>
      </c>
      <c r="M1" s="23" t="s">
        <v>6</v>
      </c>
      <c r="N1" s="23" t="s">
        <v>7</v>
      </c>
      <c r="O1" s="23" t="s">
        <v>8</v>
      </c>
      <c r="P1" s="23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 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_xlfn.XLOOKUP(A4,N2:N10,I2:I10,,-1)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B5" t="str">
        <f>_xlfn.XLOOKUP(A4,N2:N10,I2:I10,,,-1)</f>
        <v>Michael Scott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B4" sqref="B4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VLOOKUP(A3,H1:T10,9,FALSE)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 RASHID ALI HAIDER</cp:lastModifiedBy>
  <dcterms:created xsi:type="dcterms:W3CDTF">2021-12-20T02:45:32Z</dcterms:created>
  <dcterms:modified xsi:type="dcterms:W3CDTF">2026-06-23T15:43:52Z</dcterms:modified>
</cp:coreProperties>
</file>